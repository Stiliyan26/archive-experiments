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worksheets/_rels/sheet3.xml.rels" ContentType="application/vnd.openxmlformats-package.relationships+xml"/>
  <Override PartName="/xl/worksheets/_rels/sheet4.xml.rels" ContentType="application/vnd.openxmlformats-package.relationships+xml"/>
  <Override PartName="/xl/worksheets/_rels/sheet5.xml.rels" ContentType="application/vnd.openxmlformats-package.relationships+xml"/>
  <Override PartName="/xl/worksheets/_rels/sheet6.xml.rels" ContentType="application/vnd.openxmlformats-package.relationships+xml"/>
  <Override PartName="/xl/theme/theme1.xml" ContentType="application/vnd.openxmlformats-officedocument.theme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xl/drawings/drawing3.xml" ContentType="application/vnd.openxmlformats-officedocument.drawing+xml"/>
  <Override PartName="/xl/drawings/vmlDrawing3.vml" ContentType="application/vnd.openxmlformats-officedocument.vmlDrawing"/>
  <Override PartName="/xl/drawings/drawing4.xml" ContentType="application/vnd.openxmlformats-officedocument.drawing+xml"/>
  <Override PartName="/xl/drawings/vmlDrawing4.vml" ContentType="application/vnd.openxmlformats-officedocument.vmlDrawing"/>
  <Override PartName="/xl/drawings/drawing5.xml" ContentType="application/vnd.openxmlformats-officedocument.drawing+xml"/>
  <Override PartName="/xl/drawings/vmlDrawing5.vml" ContentType="application/vnd.openxmlformats-officedocument.vmlDrawing"/>
  <Override PartName="/xl/drawings/drawing6.xml" ContentType="application/vnd.openxmlformats-officedocument.drawing+xml"/>
  <Override PartName="/xl/drawings/vmlDrawing6.vml" ContentType="application/vnd.openxmlformats-officedocument.vmlDrawing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актура - Произведена енергия" sheetId="1" state="visible" r:id="rId3"/>
    <sheet name="ДИ - Произведена енергия" sheetId="2" state="visible" r:id="rId4"/>
    <sheet name="КИ - Произведена енергия" sheetId="3" state="visible" r:id="rId5"/>
    <sheet name="Фактура - Излишък" sheetId="4" state="visible" r:id="rId6"/>
    <sheet name="ДИ - Излишък" sheetId="5" state="visible" r:id="rId7"/>
    <sheet name="КИ - Излишък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0" authorId="0">
      <text>
        <r>
          <rPr>
            <sz val="10"/>
            <rFont val="Arial"/>
            <family val="2"/>
            <charset val="20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Име на кирилица на служителя, който натиска бутона за фактурата</t>
        </r>
      </text>
    </comment>
  </commentList>
</comments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0" authorId="0">
      <text>
        <r>
          <rPr>
            <sz val="10"/>
            <rFont val="Arial"/>
            <family val="2"/>
            <charset val="20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Име на кирилица на служителя, който натиска бутона за фактурата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0" authorId="0">
      <text>
        <r>
          <rPr>
            <sz val="10"/>
            <rFont val="Arial"/>
            <family val="2"/>
            <charset val="20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Име на кирилица на служителя, който натиска бутона за фактурата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0" authorId="0">
      <text>
        <r>
          <rPr>
            <sz val="10"/>
            <rFont val="Arial"/>
            <family val="2"/>
            <charset val="20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Име на кирилица на служителя, който натиска бутона за фактурата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0" authorId="0">
      <text>
        <r>
          <rPr>
            <sz val="10"/>
            <rFont val="Arial"/>
            <family val="2"/>
            <charset val="20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Име на кирилица на служителя, който натиска бутона за фактурата</t>
        </r>
      </text>
    </comment>
  </commentList>
</comments>
</file>

<file path=xl/comments6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40" authorId="0">
      <text>
        <r>
          <rPr>
            <sz val="10"/>
            <rFont val="Arial"/>
            <family val="2"/>
            <charset val="204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Име на кирилица на служителя, който натиска бутона за фактурата</t>
        </r>
      </text>
    </comment>
  </commentList>
</comments>
</file>

<file path=xl/sharedStrings.xml><?xml version="1.0" encoding="utf-8"?>
<sst xmlns="http://schemas.openxmlformats.org/spreadsheetml/2006/main" count="226" uniqueCount="47">
  <si>
    <t xml:space="preserve">Фактура - САМОФАКТУРИРАНЕ</t>
  </si>
  <si>
    <t xml:space="preserve">Основание: чл.113, ал.11 от ЗДДС</t>
  </si>
  <si>
    <t xml:space="preserve">Оригинал</t>
  </si>
  <si>
    <t xml:space="preserve">Фактура № / дата 1600000633/31.08.2024</t>
  </si>
  <si>
    <t xml:space="preserve">Получател</t>
  </si>
  <si>
    <t xml:space="preserve">Дата на данъчното събитие: = на датата на фактурата = крайна дата на периода</t>
  </si>
  <si>
    <t xml:space="preserve">ЕВН ТРЕЙДИНГ САУТ ИЙСТ ЮРЪП ЕАД</t>
  </si>
  <si>
    <t xml:space="preserve">Доставчик</t>
  </si>
  <si>
    <t xml:space="preserve">БУЛ. ЦАР ОСВОБОДИТЕЛ 14 ЕТ.3</t>
  </si>
  <si>
    <t xml:space="preserve">БЪЛГАРСКА НЕЗАВИСИМА ЕНЕРГИЙНА БОРСА ЕАД</t>
  </si>
  <si>
    <t xml:space="preserve">1000 ГР. СОФИЯ</t>
  </si>
  <si>
    <t xml:space="preserve">1527 ГР.СОФИЯ</t>
  </si>
  <si>
    <t xml:space="preserve">Идентификационен №: 175370769</t>
  </si>
  <si>
    <t xml:space="preserve">Идентификационен №: 202880940</t>
  </si>
  <si>
    <t xml:space="preserve">Идентификационен № по ДДС: BG175370769</t>
  </si>
  <si>
    <t xml:space="preserve">Идентификационен № по ДДС: BG202880940</t>
  </si>
  <si>
    <t xml:space="preserve">Банкова сметка: BG12CITI92501000112300</t>
  </si>
  <si>
    <t xml:space="preserve">Вид стоки и услуги</t>
  </si>
  <si>
    <t xml:space="preserve">Мярка</t>
  </si>
  <si>
    <t xml:space="preserve">Количество</t>
  </si>
  <si>
    <t xml:space="preserve">Цена/ EUR</t>
  </si>
  <si>
    <t xml:space="preserve">Цена/ BGN </t>
  </si>
  <si>
    <t xml:space="preserve">Сума/ EUR</t>
  </si>
  <si>
    <t xml:space="preserve">Сума/BGN</t>
  </si>
  <si>
    <t xml:space="preserve">Произведена и отдадена в електроразпределителната мрежа електрическа енергия от ФЕЦ "…………………………….", за период от 99.99.9999 до 99.99.9999</t>
  </si>
  <si>
    <t xml:space="preserve">MWh/kWh</t>
  </si>
  <si>
    <t xml:space="preserve">Данъчна основа в лева </t>
  </si>
  <si>
    <t xml:space="preserve">Данъчна основа в евро</t>
  </si>
  <si>
    <t xml:space="preserve">ДДС в лева</t>
  </si>
  <si>
    <t xml:space="preserve">ДДС в евро</t>
  </si>
  <si>
    <t xml:space="preserve">Обща стойност в лева</t>
  </si>
  <si>
    <t xml:space="preserve">Обща стойност в евро</t>
  </si>
  <si>
    <t xml:space="preserve">Сума за плащане, лева двадесет и четири хиляди седемстотин тридесет и осем.65 лева</t>
  </si>
  <si>
    <t xml:space="preserve">Сума за плащане, евро дванадесет хиляди шестотин четирдесет и осем, 67 евро</t>
  </si>
  <si>
    <t xml:space="preserve"> </t>
  </si>
  <si>
    <t xml:space="preserve">Съставил</t>
  </si>
  <si>
    <t xml:space="preserve">(Име на кирилица на служителя, който натиска бутона за фактурата)</t>
  </si>
  <si>
    <t xml:space="preserve">Дебитно Известие - САМОФАКТУРИРАНЕ</t>
  </si>
  <si>
    <t xml:space="preserve">Дебитно Известие № / дата 1600000634/30.09.2024</t>
  </si>
  <si>
    <t xml:space="preserve">Към Фактура № / дата 1600000633/31.08.2024</t>
  </si>
  <si>
    <t xml:space="preserve">Дата на данъчното събитие: = на датата на Дебитно Известие</t>
  </si>
  <si>
    <t xml:space="preserve">Кредитно Известие - САМОФАКТУРИРАНЕ</t>
  </si>
  <si>
    <t xml:space="preserve">Кредитно Известие № / дата 1600000635/30.09.2024</t>
  </si>
  <si>
    <t xml:space="preserve">Дата на данъчното събитие: = на датата на Кредитно Известие</t>
  </si>
  <si>
    <t xml:space="preserve">Дата на данъчното събитие: = на датата на фактурата</t>
  </si>
  <si>
    <t xml:space="preserve">Енергия по цена за излишък на балансиращ пазар от ФЕЦ "…………………………….", за период от 99.99.9999 до 99.99.9999</t>
  </si>
  <si>
    <t xml:space="preserve">Дата на данъчното събитие: = на датата Кредитно Известие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</si>
</sst>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/yyyy"/>
    <numFmt numFmtId="166" formatCode="0.000"/>
    <numFmt numFmtId="167" formatCode="0.00"/>
    <numFmt numFmtId="168" formatCode="##0.00"/>
    <numFmt numFmtId="169" formatCode="#,##0.00&quot; лв.&quot;"/>
    <numFmt numFmtId="170" formatCode="##0"/>
    <numFmt numFmtId="171" formatCode="0%"/>
  </numFmts>
  <fonts count="17">
    <font>
      <sz val="12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2"/>
      <charset val="204"/>
    </font>
    <font>
      <sz val="12"/>
      <name val="Frutiger Next for EVN Light"/>
      <family val="2"/>
      <charset val="1"/>
    </font>
    <font>
      <b val="true"/>
      <sz val="16"/>
      <name val="Frutiger Next for EVN Light"/>
      <family val="2"/>
      <charset val="1"/>
    </font>
    <font>
      <sz val="16"/>
      <name val="Frutiger Next for EVN Light"/>
      <family val="2"/>
      <charset val="1"/>
    </font>
    <font>
      <sz val="14"/>
      <name val="Frutiger Next for EVN Light"/>
      <family val="2"/>
      <charset val="1"/>
    </font>
    <font>
      <sz val="10"/>
      <name val="Frutiger Next for EVN Light"/>
      <family val="2"/>
      <charset val="1"/>
    </font>
    <font>
      <b val="true"/>
      <sz val="14"/>
      <name val="Frutiger Next for EVN Light"/>
      <family val="2"/>
      <charset val="1"/>
    </font>
    <font>
      <b val="true"/>
      <sz val="12"/>
      <name val="Frutiger Next for EVN Light"/>
      <family val="2"/>
      <charset val="1"/>
    </font>
    <font>
      <sz val="13"/>
      <name val="Frutiger Next for EVN Light"/>
      <family val="2"/>
      <charset val="1"/>
    </font>
    <font>
      <b val="true"/>
      <sz val="13"/>
      <name val="Frutiger Next for EVN Light"/>
      <family val="2"/>
      <charset val="1"/>
    </font>
    <font>
      <sz val="13"/>
      <color theme="1"/>
      <name val="Frutiger Next for EVN Light"/>
      <family val="2"/>
      <charset val="1"/>
    </font>
    <font>
      <sz val="13"/>
      <color theme="0" tint="-0.5"/>
      <name val="Frutiger Next for EVN Light"/>
      <family val="2"/>
      <charset val="1"/>
    </font>
    <font>
      <b val="true"/>
      <sz val="13"/>
      <color rgb="FF808080"/>
      <name val="Frutiger Next for EVN Light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5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6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7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9" fontId="13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2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4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70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7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2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0" fillId="2" borderId="0" xfId="0" applyFont="true" applyBorder="false" applyAlignment="true" applyProtection="true">
      <alignment horizontal="right" vertical="bottom" textRotation="0" wrapText="false" indent="0" shrinkToFit="false"/>
      <protection locked="true" hidden="false"/>
    </xf>
    <xf numFmtId="171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8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11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53280</xdr:colOff>
      <xdr:row>43</xdr:row>
      <xdr:rowOff>53280</xdr:rowOff>
    </xdr:from>
    <xdr:to>
      <xdr:col>8</xdr:col>
      <xdr:colOff>208080</xdr:colOff>
      <xdr:row>48</xdr:row>
      <xdr:rowOff>113760</xdr:rowOff>
    </xdr:to>
    <xdr:sp>
      <xdr:nvSpPr>
        <xdr:cNvPr id="0" name="AutoShape 14"/>
        <xdr:cNvSpPr/>
      </xdr:nvSpPr>
      <xdr:spPr>
        <a:xfrm>
          <a:off x="1135800" y="10237320"/>
          <a:ext cx="10257840" cy="1060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53280</xdr:colOff>
      <xdr:row>43</xdr:row>
      <xdr:rowOff>53280</xdr:rowOff>
    </xdr:from>
    <xdr:to>
      <xdr:col>8</xdr:col>
      <xdr:colOff>208080</xdr:colOff>
      <xdr:row>48</xdr:row>
      <xdr:rowOff>113400</xdr:rowOff>
    </xdr:to>
    <xdr:sp>
      <xdr:nvSpPr>
        <xdr:cNvPr id="1" name="AutoShape 14"/>
        <xdr:cNvSpPr/>
      </xdr:nvSpPr>
      <xdr:spPr>
        <a:xfrm>
          <a:off x="1135800" y="10257840"/>
          <a:ext cx="10257840" cy="106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53280</xdr:colOff>
      <xdr:row>45</xdr:row>
      <xdr:rowOff>21600</xdr:rowOff>
    </xdr:from>
    <xdr:to>
      <xdr:col>8</xdr:col>
      <xdr:colOff>211680</xdr:colOff>
      <xdr:row>50</xdr:row>
      <xdr:rowOff>81720</xdr:rowOff>
    </xdr:to>
    <xdr:sp>
      <xdr:nvSpPr>
        <xdr:cNvPr id="2" name="AutoShape 14"/>
        <xdr:cNvSpPr/>
      </xdr:nvSpPr>
      <xdr:spPr>
        <a:xfrm>
          <a:off x="1135800" y="10626120"/>
          <a:ext cx="10261440" cy="106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53280</xdr:colOff>
      <xdr:row>45</xdr:row>
      <xdr:rowOff>12960</xdr:rowOff>
    </xdr:from>
    <xdr:to>
      <xdr:col>8</xdr:col>
      <xdr:colOff>211680</xdr:colOff>
      <xdr:row>50</xdr:row>
      <xdr:rowOff>73440</xdr:rowOff>
    </xdr:to>
    <xdr:sp>
      <xdr:nvSpPr>
        <xdr:cNvPr id="3" name="AutoShape 14"/>
        <xdr:cNvSpPr/>
      </xdr:nvSpPr>
      <xdr:spPr>
        <a:xfrm>
          <a:off x="1135800" y="10597320"/>
          <a:ext cx="10261440" cy="106056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53280</xdr:colOff>
      <xdr:row>45</xdr:row>
      <xdr:rowOff>21600</xdr:rowOff>
    </xdr:from>
    <xdr:to>
      <xdr:col>8</xdr:col>
      <xdr:colOff>211680</xdr:colOff>
      <xdr:row>50</xdr:row>
      <xdr:rowOff>81720</xdr:rowOff>
    </xdr:to>
    <xdr:sp>
      <xdr:nvSpPr>
        <xdr:cNvPr id="4" name="AutoShape 14"/>
        <xdr:cNvSpPr/>
      </xdr:nvSpPr>
      <xdr:spPr>
        <a:xfrm>
          <a:off x="1135800" y="10626120"/>
          <a:ext cx="10261440" cy="106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53280</xdr:colOff>
      <xdr:row>45</xdr:row>
      <xdr:rowOff>21600</xdr:rowOff>
    </xdr:from>
    <xdr:to>
      <xdr:col>8</xdr:col>
      <xdr:colOff>208080</xdr:colOff>
      <xdr:row>50</xdr:row>
      <xdr:rowOff>81720</xdr:rowOff>
    </xdr:to>
    <xdr:sp>
      <xdr:nvSpPr>
        <xdr:cNvPr id="5" name="AutoShape 14"/>
        <xdr:cNvSpPr/>
      </xdr:nvSpPr>
      <xdr:spPr>
        <a:xfrm>
          <a:off x="1135800" y="10626120"/>
          <a:ext cx="10257840" cy="1060200"/>
        </a:xfrm>
        <a:prstGeom prst="rect">
          <a:avLst/>
        </a:prstGeom>
        <a:noFill/>
        <a:ln w="0">
          <a:noFill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N41"/>
  <sheetViews>
    <sheetView showFormulas="false" showGridLines="true" showRowColHeaders="true" showZeros="true" rightToLeft="false" tabSelected="true" showOutlineSymbols="true" defaultGridColor="true" view="normal" topLeftCell="B1" colorId="64" zoomScale="85" zoomScaleNormal="85" zoomScalePageLayoutView="100" workbookViewId="0">
      <selection pane="topLeft" activeCell="B9" activeCellId="0" sqref="B9"/>
    </sheetView>
  </sheetViews>
  <sheetFormatPr defaultColWidth="8.91015625" defaultRowHeight="15.7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1.82"/>
    <col collapsed="false" customWidth="true" hidden="false" outlineLevel="0" max="3" min="3" style="1" width="9.36"/>
    <col collapsed="false" customWidth="true" hidden="false" outlineLevel="0" max="4" min="4" style="1" width="27.18"/>
    <col collapsed="false" customWidth="true" hidden="false" outlineLevel="0" max="5" min="5" style="1" width="34.09"/>
    <col collapsed="false" customWidth="true" hidden="false" outlineLevel="0" max="6" min="6" style="1" width="13.54"/>
    <col collapsed="false" customWidth="true" hidden="false" outlineLevel="0" max="7" min="7" style="1" width="12.63"/>
    <col collapsed="false" customWidth="true" hidden="false" outlineLevel="0" max="8" min="8" style="1" width="22.82"/>
    <col collapsed="false" customWidth="true" hidden="false" outlineLevel="0" max="9" min="9" style="1" width="20.09"/>
    <col collapsed="false" customWidth="true" hidden="false" outlineLevel="0" max="10" min="10" style="1" width="14.91"/>
    <col collapsed="false" customWidth="true" hidden="false" outlineLevel="0" max="11" min="11" style="1" width="22.4"/>
    <col collapsed="false" customWidth="true" hidden="false" outlineLevel="0" max="12" min="12" style="1" width="4.09"/>
    <col collapsed="false" customWidth="true" hidden="false" outlineLevel="0" max="13" min="13" style="1" width="10.09"/>
    <col collapsed="false" customWidth="false" hidden="false" outlineLevel="0" max="14" min="14" style="1" width="8.91"/>
    <col collapsed="false" customWidth="true" hidden="false" outlineLevel="0" max="15" min="15" style="1" width="18.91"/>
    <col collapsed="false" customWidth="false" hidden="false" outlineLevel="0" max="20" min="16" style="1" width="8.91"/>
    <col collapsed="false" customWidth="true" hidden="false" outlineLevel="0" max="21" min="21" style="1" width="17.36"/>
    <col collapsed="false" customWidth="false" hidden="false" outlineLevel="0" max="16384" min="22" style="1" width="8.91"/>
  </cols>
  <sheetData>
    <row r="5" customFormat="false" ht="19.7" hidden="false" customHeight="false" outlineLevel="0" collapsed="false">
      <c r="B5" s="2" t="s">
        <v>0</v>
      </c>
      <c r="C5" s="3"/>
      <c r="D5" s="3"/>
      <c r="E5" s="4"/>
    </row>
    <row r="6" customFormat="false" ht="15.75" hidden="false" customHeight="false" outlineLevel="0" collapsed="false">
      <c r="B6" s="1" t="s">
        <v>1</v>
      </c>
    </row>
    <row r="7" customFormat="false" ht="17.35" hidden="false" customHeight="false" outlineLevel="0" collapsed="false">
      <c r="B7" s="5"/>
      <c r="C7" s="5"/>
      <c r="D7" s="5"/>
      <c r="E7" s="5"/>
      <c r="F7" s="5"/>
      <c r="G7" s="5"/>
      <c r="L7" s="6"/>
    </row>
    <row r="8" customFormat="false" ht="19.7" hidden="false" customHeight="false" outlineLevel="0" collapsed="false">
      <c r="B8" s="2" t="s">
        <v>2</v>
      </c>
      <c r="C8" s="5"/>
      <c r="D8" s="5"/>
      <c r="E8" s="5"/>
      <c r="F8" s="5"/>
      <c r="G8" s="5"/>
      <c r="L8" s="6"/>
    </row>
    <row r="9" customFormat="false" ht="17.35" hidden="false" customHeight="false" outlineLevel="0" collapsed="false">
      <c r="B9" s="5"/>
      <c r="C9" s="5"/>
      <c r="D9" s="5"/>
      <c r="E9" s="5"/>
      <c r="F9" s="5"/>
      <c r="G9" s="5"/>
      <c r="L9" s="6"/>
    </row>
    <row r="10" customFormat="false" ht="17.35" hidden="false" customHeight="false" outlineLevel="0" collapsed="false">
      <c r="B10" s="7" t="s">
        <v>3</v>
      </c>
      <c r="C10" s="8"/>
      <c r="D10" s="7"/>
      <c r="E10" s="7"/>
      <c r="F10" s="7"/>
      <c r="G10" s="5"/>
      <c r="H10" s="9"/>
      <c r="I10" s="8" t="s">
        <v>4</v>
      </c>
      <c r="J10" s="7"/>
      <c r="K10" s="7"/>
      <c r="L10" s="6"/>
    </row>
    <row r="11" customFormat="false" ht="17.35" hidden="false" customHeight="false" outlineLevel="0" collapsed="false">
      <c r="B11" s="7" t="s">
        <v>5</v>
      </c>
      <c r="C11" s="7"/>
      <c r="D11" s="7"/>
      <c r="E11" s="7"/>
      <c r="F11" s="7"/>
      <c r="G11" s="5"/>
      <c r="H11" s="9"/>
      <c r="I11" s="7" t="s">
        <v>6</v>
      </c>
      <c r="J11" s="7"/>
      <c r="K11" s="7"/>
      <c r="L11" s="6"/>
    </row>
    <row r="12" customFormat="false" ht="17.35" hidden="false" customHeight="false" outlineLevel="0" collapsed="false">
      <c r="B12" s="8" t="s">
        <v>7</v>
      </c>
      <c r="C12" s="8"/>
      <c r="D12" s="7"/>
      <c r="E12" s="7"/>
      <c r="F12" s="7"/>
      <c r="G12" s="5"/>
      <c r="H12" s="5"/>
      <c r="I12" s="7" t="s">
        <v>8</v>
      </c>
      <c r="J12" s="7"/>
      <c r="K12" s="7"/>
      <c r="L12" s="6"/>
    </row>
    <row r="13" customFormat="false" ht="17.35" hidden="false" customHeight="false" outlineLevel="0" collapsed="false">
      <c r="B13" s="7" t="s">
        <v>9</v>
      </c>
      <c r="C13" s="8"/>
      <c r="D13" s="7"/>
      <c r="E13" s="7"/>
      <c r="F13" s="7"/>
      <c r="G13" s="5"/>
      <c r="H13" s="5"/>
      <c r="I13" s="7" t="s">
        <v>10</v>
      </c>
      <c r="J13" s="7"/>
      <c r="K13" s="7"/>
      <c r="L13" s="6"/>
    </row>
    <row r="14" customFormat="false" ht="17.35" hidden="false" customHeight="false" outlineLevel="0" collapsed="false">
      <c r="B14" s="7" t="s">
        <v>11</v>
      </c>
      <c r="C14" s="8"/>
      <c r="D14" s="7"/>
      <c r="E14" s="7"/>
      <c r="F14" s="7"/>
      <c r="G14" s="5"/>
      <c r="H14" s="5"/>
      <c r="I14" s="8" t="s">
        <v>12</v>
      </c>
      <c r="J14" s="7"/>
      <c r="K14" s="7"/>
      <c r="L14" s="6"/>
    </row>
    <row r="15" customFormat="false" ht="17.35" hidden="false" customHeight="false" outlineLevel="0" collapsed="false">
      <c r="B15" s="8" t="s">
        <v>13</v>
      </c>
      <c r="C15" s="8"/>
      <c r="D15" s="7"/>
      <c r="E15" s="7"/>
      <c r="F15" s="7"/>
      <c r="G15" s="5"/>
      <c r="H15" s="5"/>
      <c r="I15" s="8" t="s">
        <v>14</v>
      </c>
      <c r="J15" s="7"/>
      <c r="K15" s="7"/>
      <c r="L15" s="6"/>
    </row>
    <row r="16" customFormat="false" ht="17.35" hidden="false" customHeight="false" outlineLevel="0" collapsed="false">
      <c r="B16" s="8" t="s">
        <v>15</v>
      </c>
      <c r="C16" s="8"/>
      <c r="D16" s="7"/>
      <c r="E16" s="7"/>
      <c r="F16" s="7"/>
      <c r="G16" s="5"/>
      <c r="H16" s="5"/>
      <c r="I16" s="9"/>
      <c r="J16" s="5"/>
      <c r="K16" s="5"/>
      <c r="L16" s="6"/>
    </row>
    <row r="17" customFormat="false" ht="17.35" hidden="false" customHeight="false" outlineLevel="0" collapsed="false">
      <c r="B17" s="7" t="s">
        <v>16</v>
      </c>
      <c r="C17" s="7"/>
      <c r="D17" s="7"/>
      <c r="E17" s="7"/>
      <c r="F17" s="7"/>
      <c r="G17" s="5"/>
      <c r="H17" s="5"/>
      <c r="I17" s="5"/>
      <c r="J17" s="5"/>
      <c r="K17" s="5"/>
      <c r="L17" s="6"/>
    </row>
    <row r="18" customFormat="false" ht="17.35" hidden="false" customHeight="false" outlineLevel="0" collapsed="false">
      <c r="B18" s="7"/>
      <c r="C18" s="7"/>
      <c r="D18" s="7"/>
      <c r="E18" s="7"/>
      <c r="F18" s="7"/>
      <c r="G18" s="5"/>
      <c r="H18" s="9"/>
      <c r="I18" s="9"/>
      <c r="J18" s="5"/>
      <c r="K18" s="5"/>
      <c r="L18" s="6"/>
    </row>
    <row r="19" customFormat="false" ht="17.35" hidden="false" customHeight="false" outlineLevel="0" collapsed="false">
      <c r="B19" s="5"/>
      <c r="C19" s="5"/>
      <c r="D19" s="5"/>
      <c r="E19" s="5"/>
      <c r="F19" s="5"/>
      <c r="G19" s="5"/>
      <c r="H19" s="5"/>
      <c r="I19" s="9"/>
      <c r="J19" s="5"/>
      <c r="K19" s="5"/>
      <c r="L19" s="6"/>
    </row>
    <row r="20" customFormat="false" ht="15.75" hidden="false" customHeight="false" outlineLevel="0" collapsed="false">
      <c r="L20" s="6"/>
    </row>
    <row r="21" customFormat="false" ht="54.75" hidden="false" customHeight="true" outlineLevel="0" collapsed="false"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customFormat="false" ht="15.75" hidden="false" customHeight="false" outlineLevel="0" collapsed="false">
      <c r="B22" s="10"/>
      <c r="C22" s="10" t="s">
        <v>17</v>
      </c>
      <c r="D22" s="10"/>
      <c r="E22" s="10"/>
      <c r="F22" s="10" t="s">
        <v>18</v>
      </c>
      <c r="G22" s="10" t="s">
        <v>19</v>
      </c>
      <c r="H22" s="10" t="s">
        <v>20</v>
      </c>
      <c r="I22" s="10" t="s">
        <v>21</v>
      </c>
      <c r="J22" s="10" t="s">
        <v>22</v>
      </c>
      <c r="K22" s="10" t="s">
        <v>23</v>
      </c>
      <c r="L22" s="6"/>
    </row>
    <row r="23" customFormat="false" ht="67.5" hidden="false" customHeight="true" outlineLevel="0" collapsed="false">
      <c r="C23" s="11" t="s">
        <v>24</v>
      </c>
      <c r="D23" s="11"/>
      <c r="E23" s="11"/>
      <c r="F23" s="10" t="s">
        <v>25</v>
      </c>
      <c r="G23" s="12" t="n">
        <v>136.2</v>
      </c>
      <c r="H23" s="13" t="n">
        <f aca="false">I23/1.95583</f>
        <v>77.390295168803</v>
      </c>
      <c r="I23" s="14" t="n">
        <v>151.362261</v>
      </c>
      <c r="J23" s="14" t="n">
        <f aca="false">G23*H23</f>
        <v>10540.558201991</v>
      </c>
      <c r="K23" s="14" t="n">
        <f aca="false">G23*I23</f>
        <v>20615.5399482</v>
      </c>
      <c r="L23" s="6"/>
    </row>
    <row r="24" customFormat="false" ht="15.75" hidden="false" customHeight="false" outlineLevel="0" collapsed="false">
      <c r="H24" s="10"/>
      <c r="I24" s="10"/>
      <c r="J24" s="10"/>
      <c r="L24" s="6"/>
    </row>
    <row r="25" customFormat="false" ht="16.15" hidden="false" customHeight="false" outlineLevel="0" collapsed="false">
      <c r="B25" s="15"/>
      <c r="C25" s="16"/>
      <c r="D25" s="16"/>
      <c r="E25" s="17"/>
      <c r="F25" s="16"/>
      <c r="G25" s="18"/>
      <c r="H25" s="19"/>
      <c r="I25" s="19"/>
      <c r="J25" s="20"/>
      <c r="K25" s="18"/>
      <c r="L25" s="6"/>
      <c r="M25" s="21"/>
      <c r="N25" s="21"/>
    </row>
    <row r="26" customFormat="false" ht="16.15" hidden="false" customHeight="false" outlineLevel="0" collapsed="false">
      <c r="C26" s="10" t="s">
        <v>26</v>
      </c>
      <c r="D26" s="10"/>
      <c r="E26" s="10"/>
      <c r="F26" s="22"/>
      <c r="G26" s="23"/>
      <c r="H26" s="22"/>
      <c r="I26" s="24"/>
      <c r="J26" s="25"/>
      <c r="K26" s="26" t="n">
        <f aca="false">K23</f>
        <v>20615.5399482</v>
      </c>
      <c r="L26" s="6"/>
    </row>
    <row r="27" customFormat="false" ht="16.15" hidden="false" customHeight="false" outlineLevel="0" collapsed="false">
      <c r="C27" s="10" t="s">
        <v>27</v>
      </c>
      <c r="D27" s="10"/>
      <c r="E27" s="10"/>
      <c r="F27" s="22"/>
      <c r="G27" s="22"/>
      <c r="H27" s="22"/>
      <c r="I27" s="22"/>
      <c r="J27" s="22"/>
      <c r="K27" s="26" t="n">
        <f aca="false">J23</f>
        <v>10540.558201991</v>
      </c>
      <c r="L27" s="6"/>
    </row>
    <row r="28" customFormat="false" ht="16.15" hidden="false" customHeight="false" outlineLevel="0" collapsed="false">
      <c r="C28" s="10" t="s">
        <v>28</v>
      </c>
      <c r="D28" s="10"/>
      <c r="E28" s="10"/>
      <c r="F28" s="22"/>
      <c r="G28" s="22"/>
      <c r="H28" s="22"/>
      <c r="I28" s="22"/>
      <c r="J28" s="22"/>
      <c r="K28" s="26" t="n">
        <f aca="false">K26*20%</f>
        <v>4123.10798964</v>
      </c>
      <c r="L28" s="6"/>
    </row>
    <row r="29" customFormat="false" ht="16.15" hidden="false" customHeight="false" outlineLevel="0" collapsed="false">
      <c r="C29" s="10" t="s">
        <v>29</v>
      </c>
      <c r="D29" s="10"/>
      <c r="E29" s="10"/>
      <c r="F29" s="22"/>
      <c r="G29" s="22"/>
      <c r="H29" s="22"/>
      <c r="I29" s="22"/>
      <c r="J29" s="22"/>
      <c r="K29" s="26" t="n">
        <f aca="false">K27*20%</f>
        <v>2108.11164039819</v>
      </c>
      <c r="L29" s="6"/>
    </row>
    <row r="30" customFormat="false" ht="16.15" hidden="false" customHeight="false" outlineLevel="0" collapsed="false">
      <c r="C30" s="10" t="s">
        <v>30</v>
      </c>
      <c r="D30" s="10"/>
      <c r="E30" s="10"/>
      <c r="F30" s="22"/>
      <c r="G30" s="22"/>
      <c r="H30" s="22"/>
      <c r="I30" s="22"/>
      <c r="J30" s="22"/>
      <c r="K30" s="26" t="n">
        <f aca="false">K26+K28</f>
        <v>24738.64793784</v>
      </c>
      <c r="L30" s="6"/>
    </row>
    <row r="31" customFormat="false" ht="16.15" hidden="false" customHeight="false" outlineLevel="0" collapsed="false">
      <c r="C31" s="27" t="s">
        <v>31</v>
      </c>
      <c r="D31" s="27"/>
      <c r="E31" s="27"/>
      <c r="F31" s="22"/>
      <c r="G31" s="22"/>
      <c r="H31" s="22"/>
      <c r="I31" s="22"/>
      <c r="J31" s="22"/>
      <c r="K31" s="26" t="n">
        <f aca="false">K27+K29</f>
        <v>12648.6698423892</v>
      </c>
      <c r="L31" s="6"/>
    </row>
    <row r="32" customFormat="false" ht="16.15" hidden="false" customHeight="false" outlineLevel="0" collapsed="false">
      <c r="B32" s="10"/>
      <c r="C32" s="10"/>
      <c r="F32" s="22"/>
      <c r="G32" s="22"/>
      <c r="H32" s="22"/>
      <c r="I32" s="22"/>
      <c r="J32" s="28"/>
      <c r="K32" s="29"/>
      <c r="L32" s="6"/>
    </row>
    <row r="33" customFormat="false" ht="16.15" hidden="false" customHeight="false" outlineLevel="0" collapsed="false">
      <c r="B33" s="10"/>
      <c r="C33" s="10"/>
      <c r="F33" s="22"/>
      <c r="G33" s="22"/>
      <c r="H33" s="22"/>
      <c r="I33" s="22"/>
      <c r="J33" s="28"/>
      <c r="K33" s="29"/>
      <c r="L33" s="6"/>
    </row>
    <row r="34" customFormat="false" ht="17.35" hidden="false" customHeight="false" outlineLevel="0" collapsed="false">
      <c r="A34" s="10"/>
      <c r="B34" s="8"/>
      <c r="C34" s="8" t="s">
        <v>32</v>
      </c>
      <c r="D34" s="8"/>
      <c r="E34" s="8"/>
      <c r="F34" s="8"/>
      <c r="G34" s="8"/>
      <c r="H34" s="8"/>
      <c r="I34" s="8"/>
      <c r="J34" s="30"/>
      <c r="K34" s="31" t="n">
        <f aca="false">K30</f>
        <v>24738.64793784</v>
      </c>
      <c r="L34" s="6"/>
    </row>
    <row r="35" customFormat="false" ht="17.35" hidden="false" customHeight="false" outlineLevel="0" collapsed="false">
      <c r="A35" s="10"/>
      <c r="B35" s="8"/>
      <c r="C35" s="8" t="s">
        <v>33</v>
      </c>
      <c r="D35" s="8"/>
      <c r="E35" s="8"/>
      <c r="F35" s="8"/>
      <c r="G35" s="8"/>
      <c r="H35" s="8"/>
      <c r="I35" s="8"/>
      <c r="J35" s="30"/>
      <c r="K35" s="31" t="n">
        <f aca="false">K31</f>
        <v>12648.6698423892</v>
      </c>
      <c r="L35" s="6"/>
    </row>
    <row r="36" customFormat="false" ht="15.75" hidden="false" customHeight="false" outlineLevel="0" collapsed="false">
      <c r="A36" s="6"/>
      <c r="J36" s="32"/>
      <c r="K36" s="33" t="s">
        <v>34</v>
      </c>
    </row>
    <row r="40" customFormat="false" ht="15.75" hidden="false" customHeight="false" outlineLevel="0" collapsed="false">
      <c r="B40" s="1" t="s">
        <v>35</v>
      </c>
      <c r="D40" s="1" t="s">
        <v>36</v>
      </c>
    </row>
    <row r="41" customFormat="false" ht="15.75" hidden="false" customHeight="false" outlineLevel="0" collapsed="false">
      <c r="B41" s="10"/>
      <c r="C41" s="10"/>
      <c r="D41" s="10"/>
      <c r="E41" s="10"/>
    </row>
  </sheetData>
  <mergeCells count="2">
    <mergeCell ref="C23:E23"/>
    <mergeCell ref="C31:E31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196527777777778"/>
  <pageSetup paperSize="9" scale="5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&amp;LEVN Trading South East Europe EAD
14 Tsar Osvoboditel Blvd.
1000 Sofia
Bulgaria&amp;RID  Number: 175370769
VAT: BG175370769
Bank acount: CITIBank
BIC:CITIBGSF
IBAN: BG12 CITI 9250 1000 1123 00 BGN
IBAN: BG82 CITI 9250 1000 1123 01 EUR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N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I15" activeCellId="0" sqref="I15"/>
    </sheetView>
  </sheetViews>
  <sheetFormatPr defaultColWidth="8.91015625" defaultRowHeight="15.7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1.82"/>
    <col collapsed="false" customWidth="true" hidden="false" outlineLevel="0" max="3" min="3" style="1" width="9.36"/>
    <col collapsed="false" customWidth="true" hidden="false" outlineLevel="0" max="4" min="4" style="1" width="27.18"/>
    <col collapsed="false" customWidth="true" hidden="false" outlineLevel="0" max="5" min="5" style="1" width="34.09"/>
    <col collapsed="false" customWidth="true" hidden="false" outlineLevel="0" max="6" min="6" style="1" width="13.54"/>
    <col collapsed="false" customWidth="true" hidden="false" outlineLevel="0" max="7" min="7" style="1" width="12.63"/>
    <col collapsed="false" customWidth="true" hidden="false" outlineLevel="0" max="8" min="8" style="1" width="22.82"/>
    <col collapsed="false" customWidth="true" hidden="false" outlineLevel="0" max="9" min="9" style="1" width="20.09"/>
    <col collapsed="false" customWidth="true" hidden="false" outlineLevel="0" max="10" min="10" style="1" width="14.91"/>
    <col collapsed="false" customWidth="true" hidden="false" outlineLevel="0" max="11" min="11" style="1" width="22.13"/>
    <col collapsed="false" customWidth="true" hidden="false" outlineLevel="0" max="12" min="12" style="1" width="4.09"/>
    <col collapsed="false" customWidth="true" hidden="false" outlineLevel="0" max="13" min="13" style="1" width="10.09"/>
    <col collapsed="false" customWidth="false" hidden="false" outlineLevel="0" max="14" min="14" style="1" width="8.91"/>
    <col collapsed="false" customWidth="true" hidden="false" outlineLevel="0" max="15" min="15" style="1" width="18.91"/>
    <col collapsed="false" customWidth="false" hidden="false" outlineLevel="0" max="20" min="16" style="1" width="8.91"/>
    <col collapsed="false" customWidth="true" hidden="false" outlineLevel="0" max="21" min="21" style="1" width="17.36"/>
    <col collapsed="false" customWidth="false" hidden="false" outlineLevel="0" max="16384" min="22" style="1" width="8.91"/>
  </cols>
  <sheetData>
    <row r="5" customFormat="false" ht="19.7" hidden="false" customHeight="false" outlineLevel="0" collapsed="false">
      <c r="B5" s="2" t="s">
        <v>37</v>
      </c>
      <c r="C5" s="3"/>
      <c r="D5" s="3"/>
      <c r="E5" s="4"/>
    </row>
    <row r="6" customFormat="false" ht="15.75" hidden="false" customHeight="false" outlineLevel="0" collapsed="false">
      <c r="B6" s="1" t="s">
        <v>1</v>
      </c>
    </row>
    <row r="7" customFormat="false" ht="17.35" hidden="false" customHeight="false" outlineLevel="0" collapsed="false">
      <c r="B7" s="5"/>
      <c r="C7" s="5"/>
      <c r="D7" s="5"/>
      <c r="E7" s="5"/>
      <c r="F7" s="5"/>
      <c r="G7" s="5"/>
      <c r="L7" s="6"/>
    </row>
    <row r="8" customFormat="false" ht="19.7" hidden="false" customHeight="false" outlineLevel="0" collapsed="false">
      <c r="B8" s="2" t="s">
        <v>2</v>
      </c>
      <c r="C8" s="5"/>
      <c r="D8" s="5"/>
      <c r="E8" s="5"/>
      <c r="F8" s="5"/>
      <c r="G8" s="5"/>
      <c r="L8" s="6"/>
    </row>
    <row r="9" customFormat="false" ht="17.35" hidden="false" customHeight="false" outlineLevel="0" collapsed="false">
      <c r="B9" s="5"/>
      <c r="C9" s="5"/>
      <c r="D9" s="5"/>
      <c r="E9" s="5"/>
      <c r="F9" s="5"/>
      <c r="G9" s="5"/>
      <c r="L9" s="6"/>
    </row>
    <row r="10" customFormat="false" ht="17.35" hidden="false" customHeight="false" outlineLevel="0" collapsed="false">
      <c r="B10" s="7" t="s">
        <v>38</v>
      </c>
      <c r="C10" s="8"/>
      <c r="D10" s="7"/>
      <c r="E10" s="7"/>
      <c r="F10" s="7"/>
      <c r="G10" s="5"/>
      <c r="H10" s="9"/>
      <c r="I10" s="8" t="s">
        <v>4</v>
      </c>
      <c r="J10" s="7"/>
      <c r="K10" s="7"/>
      <c r="L10" s="6"/>
    </row>
    <row r="11" customFormat="false" ht="17.35" hidden="false" customHeight="false" outlineLevel="0" collapsed="false">
      <c r="B11" s="7" t="s">
        <v>39</v>
      </c>
      <c r="C11" s="8"/>
      <c r="D11" s="7"/>
      <c r="E11" s="7"/>
      <c r="F11" s="7"/>
      <c r="G11" s="5"/>
      <c r="H11" s="9"/>
      <c r="I11" s="7" t="s">
        <v>6</v>
      </c>
      <c r="J11" s="7"/>
      <c r="K11" s="7"/>
      <c r="L11" s="6"/>
    </row>
    <row r="12" customFormat="false" ht="17.35" hidden="false" customHeight="false" outlineLevel="0" collapsed="false">
      <c r="B12" s="7" t="s">
        <v>40</v>
      </c>
      <c r="C12" s="7"/>
      <c r="D12" s="7"/>
      <c r="E12" s="7"/>
      <c r="F12" s="7"/>
      <c r="G12" s="5"/>
      <c r="H12" s="5"/>
      <c r="I12" s="7" t="s">
        <v>8</v>
      </c>
      <c r="J12" s="7"/>
      <c r="K12" s="7"/>
      <c r="L12" s="6"/>
    </row>
    <row r="13" customFormat="false" ht="17.35" hidden="false" customHeight="false" outlineLevel="0" collapsed="false">
      <c r="B13" s="8" t="s">
        <v>7</v>
      </c>
      <c r="C13" s="8"/>
      <c r="D13" s="7"/>
      <c r="E13" s="7"/>
      <c r="F13" s="7"/>
      <c r="G13" s="5"/>
      <c r="H13" s="5"/>
      <c r="I13" s="7" t="s">
        <v>10</v>
      </c>
      <c r="J13" s="7"/>
      <c r="K13" s="7"/>
      <c r="L13" s="6"/>
    </row>
    <row r="14" customFormat="false" ht="17.35" hidden="false" customHeight="false" outlineLevel="0" collapsed="false">
      <c r="B14" s="7" t="s">
        <v>9</v>
      </c>
      <c r="C14" s="8"/>
      <c r="D14" s="7"/>
      <c r="E14" s="7"/>
      <c r="F14" s="7"/>
      <c r="G14" s="5"/>
      <c r="H14" s="5"/>
      <c r="I14" s="8" t="s">
        <v>12</v>
      </c>
      <c r="J14" s="7"/>
      <c r="K14" s="7"/>
      <c r="L14" s="6"/>
    </row>
    <row r="15" customFormat="false" ht="17.35" hidden="false" customHeight="false" outlineLevel="0" collapsed="false">
      <c r="B15" s="7" t="s">
        <v>11</v>
      </c>
      <c r="C15" s="8"/>
      <c r="D15" s="7"/>
      <c r="E15" s="7"/>
      <c r="F15" s="7"/>
      <c r="G15" s="5"/>
      <c r="H15" s="5"/>
      <c r="I15" s="8" t="s">
        <v>14</v>
      </c>
      <c r="J15" s="7"/>
      <c r="K15" s="7"/>
      <c r="L15" s="6"/>
    </row>
    <row r="16" customFormat="false" ht="17.35" hidden="false" customHeight="false" outlineLevel="0" collapsed="false">
      <c r="B16" s="8" t="s">
        <v>13</v>
      </c>
      <c r="C16" s="8"/>
      <c r="D16" s="7"/>
      <c r="E16" s="7"/>
      <c r="F16" s="7"/>
      <c r="G16" s="5"/>
      <c r="H16" s="5"/>
      <c r="I16" s="9"/>
      <c r="J16" s="5"/>
      <c r="K16" s="5"/>
      <c r="L16" s="6"/>
    </row>
    <row r="17" customFormat="false" ht="17.35" hidden="false" customHeight="false" outlineLevel="0" collapsed="false">
      <c r="B17" s="8" t="s">
        <v>15</v>
      </c>
      <c r="C17" s="8"/>
      <c r="D17" s="7"/>
      <c r="E17" s="7"/>
      <c r="F17" s="7"/>
      <c r="G17" s="5"/>
      <c r="H17" s="5"/>
      <c r="I17" s="5"/>
      <c r="J17" s="5"/>
      <c r="K17" s="5"/>
      <c r="L17" s="6"/>
    </row>
    <row r="18" customFormat="false" ht="17.35" hidden="false" customHeight="false" outlineLevel="0" collapsed="false">
      <c r="B18" s="7" t="s">
        <v>16</v>
      </c>
      <c r="C18" s="7"/>
      <c r="D18" s="7"/>
      <c r="E18" s="7"/>
      <c r="F18" s="7"/>
      <c r="G18" s="5"/>
      <c r="H18" s="9"/>
      <c r="I18" s="9"/>
      <c r="J18" s="5"/>
      <c r="K18" s="5"/>
      <c r="L18" s="6"/>
    </row>
    <row r="19" customFormat="false" ht="17.35" hidden="false" customHeight="false" outlineLevel="0" collapsed="false">
      <c r="B19" s="7"/>
      <c r="C19" s="7"/>
      <c r="D19" s="7"/>
      <c r="E19" s="7"/>
      <c r="F19" s="7"/>
      <c r="G19" s="5"/>
      <c r="H19" s="5"/>
      <c r="I19" s="9"/>
      <c r="J19" s="5"/>
      <c r="K19" s="5"/>
      <c r="L19" s="6"/>
    </row>
    <row r="20" customFormat="false" ht="17.35" hidden="false" customHeight="false" outlineLevel="0" collapsed="false">
      <c r="B20" s="5"/>
      <c r="C20" s="5"/>
      <c r="D20" s="5"/>
      <c r="E20" s="5"/>
      <c r="F20" s="5"/>
      <c r="L20" s="6"/>
    </row>
    <row r="21" customFormat="false" ht="54.75" hidden="false" customHeight="true" outlineLevel="0" collapsed="false"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customFormat="false" ht="15.75" hidden="false" customHeight="false" outlineLevel="0" collapsed="false">
      <c r="B22" s="10"/>
      <c r="C22" s="10" t="s">
        <v>17</v>
      </c>
      <c r="D22" s="10"/>
      <c r="E22" s="10"/>
      <c r="F22" s="10" t="s">
        <v>18</v>
      </c>
      <c r="G22" s="10" t="s">
        <v>19</v>
      </c>
      <c r="H22" s="10" t="s">
        <v>20</v>
      </c>
      <c r="I22" s="10" t="s">
        <v>21</v>
      </c>
      <c r="J22" s="10" t="s">
        <v>22</v>
      </c>
      <c r="K22" s="10" t="s">
        <v>23</v>
      </c>
      <c r="L22" s="6"/>
    </row>
    <row r="23" customFormat="false" ht="67.5" hidden="false" customHeight="true" outlineLevel="0" collapsed="false">
      <c r="C23" s="11" t="s">
        <v>24</v>
      </c>
      <c r="D23" s="11"/>
      <c r="E23" s="11"/>
      <c r="F23" s="10" t="s">
        <v>25</v>
      </c>
      <c r="G23" s="12" t="n">
        <v>136.2</v>
      </c>
      <c r="H23" s="13" t="n">
        <f aca="false">I23/1.95583</f>
        <v>77.390295168803</v>
      </c>
      <c r="I23" s="14" t="n">
        <v>151.362261</v>
      </c>
      <c r="J23" s="14" t="n">
        <f aca="false">G23*H23</f>
        <v>10540.558201991</v>
      </c>
      <c r="K23" s="14" t="n">
        <f aca="false">G23*I23</f>
        <v>20615.5399482</v>
      </c>
      <c r="L23" s="6"/>
    </row>
    <row r="24" customFormat="false" ht="15.75" hidden="false" customHeight="false" outlineLevel="0" collapsed="false">
      <c r="H24" s="10"/>
      <c r="I24" s="10"/>
      <c r="J24" s="10"/>
      <c r="L24" s="6"/>
    </row>
    <row r="25" customFormat="false" ht="16.15" hidden="false" customHeight="false" outlineLevel="0" collapsed="false">
      <c r="B25" s="15"/>
      <c r="C25" s="16"/>
      <c r="D25" s="16"/>
      <c r="E25" s="17"/>
      <c r="F25" s="16"/>
      <c r="G25" s="18"/>
      <c r="H25" s="19"/>
      <c r="I25" s="19"/>
      <c r="J25" s="20"/>
      <c r="K25" s="18"/>
      <c r="L25" s="6"/>
      <c r="M25" s="21"/>
      <c r="N25" s="21"/>
    </row>
    <row r="26" customFormat="false" ht="16.15" hidden="false" customHeight="false" outlineLevel="0" collapsed="false">
      <c r="C26" s="10" t="s">
        <v>26</v>
      </c>
      <c r="D26" s="10"/>
      <c r="E26" s="10"/>
      <c r="F26" s="22"/>
      <c r="G26" s="23"/>
      <c r="H26" s="22"/>
      <c r="I26" s="24"/>
      <c r="J26" s="25"/>
      <c r="K26" s="26" t="n">
        <f aca="false">K23</f>
        <v>20615.5399482</v>
      </c>
      <c r="L26" s="6"/>
    </row>
    <row r="27" customFormat="false" ht="16.15" hidden="false" customHeight="false" outlineLevel="0" collapsed="false">
      <c r="C27" s="10" t="s">
        <v>27</v>
      </c>
      <c r="D27" s="10"/>
      <c r="E27" s="10"/>
      <c r="F27" s="22"/>
      <c r="G27" s="22"/>
      <c r="H27" s="22"/>
      <c r="I27" s="22"/>
      <c r="J27" s="22"/>
      <c r="K27" s="26" t="n">
        <f aca="false">J23</f>
        <v>10540.558201991</v>
      </c>
      <c r="L27" s="6"/>
    </row>
    <row r="28" customFormat="false" ht="16.15" hidden="false" customHeight="false" outlineLevel="0" collapsed="false">
      <c r="C28" s="10" t="s">
        <v>28</v>
      </c>
      <c r="D28" s="10"/>
      <c r="E28" s="10"/>
      <c r="F28" s="22"/>
      <c r="G28" s="22"/>
      <c r="H28" s="22"/>
      <c r="I28" s="22"/>
      <c r="J28" s="22"/>
      <c r="K28" s="26" t="n">
        <f aca="false">K26*20%</f>
        <v>4123.10798964</v>
      </c>
      <c r="L28" s="6"/>
    </row>
    <row r="29" customFormat="false" ht="16.15" hidden="false" customHeight="false" outlineLevel="0" collapsed="false">
      <c r="C29" s="10" t="s">
        <v>29</v>
      </c>
      <c r="D29" s="10"/>
      <c r="E29" s="10"/>
      <c r="F29" s="22"/>
      <c r="G29" s="22"/>
      <c r="H29" s="22"/>
      <c r="I29" s="22"/>
      <c r="J29" s="22"/>
      <c r="K29" s="26" t="n">
        <f aca="false">K27*20%</f>
        <v>2108.11164039819</v>
      </c>
      <c r="L29" s="6"/>
    </row>
    <row r="30" customFormat="false" ht="16.15" hidden="false" customHeight="false" outlineLevel="0" collapsed="false">
      <c r="C30" s="10" t="s">
        <v>30</v>
      </c>
      <c r="D30" s="10"/>
      <c r="E30" s="10"/>
      <c r="F30" s="22"/>
      <c r="G30" s="22"/>
      <c r="H30" s="22"/>
      <c r="I30" s="22"/>
      <c r="J30" s="22"/>
      <c r="K30" s="26" t="n">
        <f aca="false">K26+K28</f>
        <v>24738.64793784</v>
      </c>
      <c r="L30" s="6"/>
    </row>
    <row r="31" customFormat="false" ht="16.15" hidden="false" customHeight="false" outlineLevel="0" collapsed="false">
      <c r="C31" s="27" t="s">
        <v>31</v>
      </c>
      <c r="D31" s="27"/>
      <c r="E31" s="27"/>
      <c r="F31" s="22"/>
      <c r="G31" s="22"/>
      <c r="H31" s="22"/>
      <c r="I31" s="22"/>
      <c r="J31" s="22"/>
      <c r="K31" s="26" t="n">
        <f aca="false">K27+K29</f>
        <v>12648.6698423892</v>
      </c>
      <c r="L31" s="6"/>
    </row>
    <row r="32" customFormat="false" ht="16.15" hidden="false" customHeight="false" outlineLevel="0" collapsed="false">
      <c r="B32" s="10"/>
      <c r="C32" s="10"/>
      <c r="F32" s="22"/>
      <c r="G32" s="22"/>
      <c r="H32" s="22"/>
      <c r="I32" s="22"/>
      <c r="J32" s="28"/>
      <c r="K32" s="29"/>
      <c r="L32" s="6"/>
    </row>
    <row r="33" customFormat="false" ht="16.15" hidden="false" customHeight="false" outlineLevel="0" collapsed="false">
      <c r="B33" s="10"/>
      <c r="C33" s="10"/>
      <c r="F33" s="22"/>
      <c r="G33" s="22"/>
      <c r="H33" s="22"/>
      <c r="I33" s="22"/>
      <c r="J33" s="28"/>
      <c r="K33" s="29"/>
      <c r="L33" s="6"/>
    </row>
    <row r="34" customFormat="false" ht="17.35" hidden="false" customHeight="false" outlineLevel="0" collapsed="false">
      <c r="A34" s="10"/>
      <c r="B34" s="8"/>
      <c r="C34" s="8" t="s">
        <v>32</v>
      </c>
      <c r="D34" s="8"/>
      <c r="E34" s="8"/>
      <c r="F34" s="8"/>
      <c r="G34" s="8"/>
      <c r="H34" s="8"/>
      <c r="I34" s="8"/>
      <c r="J34" s="30"/>
      <c r="K34" s="31" t="n">
        <f aca="false">K30</f>
        <v>24738.64793784</v>
      </c>
      <c r="L34" s="6"/>
    </row>
    <row r="35" customFormat="false" ht="17.35" hidden="false" customHeight="false" outlineLevel="0" collapsed="false">
      <c r="A35" s="10"/>
      <c r="B35" s="8"/>
      <c r="C35" s="8" t="s">
        <v>33</v>
      </c>
      <c r="D35" s="8"/>
      <c r="E35" s="8"/>
      <c r="F35" s="8"/>
      <c r="G35" s="8"/>
      <c r="H35" s="8"/>
      <c r="I35" s="8"/>
      <c r="J35" s="30"/>
      <c r="K35" s="31" t="n">
        <f aca="false">K31</f>
        <v>12648.6698423892</v>
      </c>
      <c r="L35" s="6"/>
    </row>
    <row r="36" customFormat="false" ht="15.75" hidden="false" customHeight="false" outlineLevel="0" collapsed="false">
      <c r="A36" s="6"/>
      <c r="J36" s="32"/>
      <c r="K36" s="33" t="s">
        <v>34</v>
      </c>
    </row>
    <row r="40" customFormat="false" ht="15.75" hidden="false" customHeight="false" outlineLevel="0" collapsed="false">
      <c r="B40" s="1" t="s">
        <v>35</v>
      </c>
      <c r="D40" s="1" t="s">
        <v>36</v>
      </c>
    </row>
    <row r="41" customFormat="false" ht="15.75" hidden="false" customHeight="false" outlineLevel="0" collapsed="false">
      <c r="B41" s="10"/>
      <c r="C41" s="10"/>
      <c r="D41" s="10"/>
      <c r="E41" s="10"/>
    </row>
  </sheetData>
  <mergeCells count="2">
    <mergeCell ref="C23:E23"/>
    <mergeCell ref="C31:E31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196527777777778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&amp;LEVN Trading South East Europe EAD
14 Tsar Osvoboditel Blvd.
1000 Sofia
Bulgaria&amp;RID  Number: 175370769
VAT: BG175370769
Bank acount: CITIBank
BIC:CITIBGSF
IBAN: BG12 CITI 9250 1000 1123 00 BGN
IBAN: BG82 CITI 9250 1000 1123 01 EUR</oddFooter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N41"/>
  <sheetViews>
    <sheetView showFormulas="false" showGridLines="true" showRowColHeaders="true" showZeros="true" rightToLeft="false" tabSelected="false" showOutlineSymbols="true" defaultGridColor="true" view="normal" topLeftCell="A11" colorId="64" zoomScale="85" zoomScaleNormal="85" zoomScalePageLayoutView="100" workbookViewId="0">
      <selection pane="topLeft" activeCell="B9" activeCellId="0" sqref="B9"/>
    </sheetView>
  </sheetViews>
  <sheetFormatPr defaultColWidth="8.91015625" defaultRowHeight="15.7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1.82"/>
    <col collapsed="false" customWidth="true" hidden="false" outlineLevel="0" max="3" min="3" style="1" width="9.36"/>
    <col collapsed="false" customWidth="true" hidden="false" outlineLevel="0" max="4" min="4" style="1" width="27.18"/>
    <col collapsed="false" customWidth="true" hidden="false" outlineLevel="0" max="5" min="5" style="1" width="34.09"/>
    <col collapsed="false" customWidth="true" hidden="false" outlineLevel="0" max="6" min="6" style="1" width="13.54"/>
    <col collapsed="false" customWidth="true" hidden="false" outlineLevel="0" max="7" min="7" style="1" width="12.63"/>
    <col collapsed="false" customWidth="true" hidden="false" outlineLevel="0" max="8" min="8" style="1" width="22.82"/>
    <col collapsed="false" customWidth="true" hidden="false" outlineLevel="0" max="9" min="9" style="1" width="20.09"/>
    <col collapsed="false" customWidth="true" hidden="false" outlineLevel="0" max="11" min="10" style="1" width="14.91"/>
    <col collapsed="false" customWidth="true" hidden="false" outlineLevel="0" max="12" min="12" style="1" width="4.09"/>
    <col collapsed="false" customWidth="true" hidden="false" outlineLevel="0" max="13" min="13" style="1" width="10.09"/>
    <col collapsed="false" customWidth="false" hidden="false" outlineLevel="0" max="14" min="14" style="1" width="8.91"/>
    <col collapsed="false" customWidth="true" hidden="false" outlineLevel="0" max="15" min="15" style="1" width="18.91"/>
    <col collapsed="false" customWidth="false" hidden="false" outlineLevel="0" max="20" min="16" style="1" width="8.91"/>
    <col collapsed="false" customWidth="true" hidden="false" outlineLevel="0" max="21" min="21" style="1" width="17.36"/>
    <col collapsed="false" customWidth="false" hidden="false" outlineLevel="0" max="16384" min="22" style="1" width="8.91"/>
  </cols>
  <sheetData>
    <row r="5" customFormat="false" ht="19.7" hidden="false" customHeight="false" outlineLevel="0" collapsed="false">
      <c r="B5" s="2" t="s">
        <v>41</v>
      </c>
      <c r="C5" s="3"/>
      <c r="D5" s="3"/>
      <c r="E5" s="4"/>
    </row>
    <row r="6" customFormat="false" ht="15.75" hidden="false" customHeight="false" outlineLevel="0" collapsed="false">
      <c r="B6" s="1" t="s">
        <v>1</v>
      </c>
    </row>
    <row r="7" customFormat="false" ht="17.35" hidden="false" customHeight="false" outlineLevel="0" collapsed="false">
      <c r="B7" s="5"/>
      <c r="C7" s="5"/>
      <c r="D7" s="5"/>
      <c r="E7" s="5"/>
      <c r="F7" s="5"/>
      <c r="G7" s="5"/>
      <c r="L7" s="6"/>
    </row>
    <row r="8" customFormat="false" ht="19.7" hidden="false" customHeight="false" outlineLevel="0" collapsed="false">
      <c r="B8" s="2" t="s">
        <v>2</v>
      </c>
      <c r="C8" s="5"/>
      <c r="D8" s="5"/>
      <c r="E8" s="5"/>
      <c r="F8" s="5"/>
      <c r="G8" s="5"/>
      <c r="L8" s="6"/>
    </row>
    <row r="9" customFormat="false" ht="17.35" hidden="false" customHeight="false" outlineLevel="0" collapsed="false">
      <c r="B9" s="5"/>
      <c r="C9" s="5"/>
      <c r="D9" s="5"/>
      <c r="E9" s="5"/>
      <c r="F9" s="5"/>
      <c r="G9" s="5"/>
      <c r="L9" s="6"/>
    </row>
    <row r="10" customFormat="false" ht="17.35" hidden="false" customHeight="false" outlineLevel="0" collapsed="false">
      <c r="B10" s="7" t="s">
        <v>42</v>
      </c>
      <c r="C10" s="8"/>
      <c r="D10" s="7"/>
      <c r="E10" s="7"/>
      <c r="F10" s="7"/>
      <c r="G10" s="5"/>
      <c r="H10" s="9"/>
      <c r="I10" s="8" t="s">
        <v>4</v>
      </c>
      <c r="J10" s="7"/>
      <c r="K10" s="7"/>
      <c r="L10" s="6"/>
    </row>
    <row r="11" customFormat="false" ht="17.35" hidden="false" customHeight="false" outlineLevel="0" collapsed="false">
      <c r="B11" s="7" t="s">
        <v>39</v>
      </c>
      <c r="C11" s="8"/>
      <c r="D11" s="7"/>
      <c r="E11" s="7"/>
      <c r="F11" s="7"/>
      <c r="G11" s="5"/>
      <c r="H11" s="9"/>
      <c r="I11" s="7" t="s">
        <v>6</v>
      </c>
      <c r="J11" s="7"/>
      <c r="K11" s="7"/>
      <c r="L11" s="6"/>
    </row>
    <row r="12" customFormat="false" ht="17.35" hidden="false" customHeight="false" outlineLevel="0" collapsed="false">
      <c r="B12" s="7" t="s">
        <v>43</v>
      </c>
      <c r="C12" s="7"/>
      <c r="D12" s="7"/>
      <c r="E12" s="7"/>
      <c r="F12" s="7"/>
      <c r="G12" s="5"/>
      <c r="H12" s="5"/>
      <c r="I12" s="7" t="s">
        <v>8</v>
      </c>
      <c r="J12" s="7"/>
      <c r="K12" s="7"/>
      <c r="L12" s="6"/>
    </row>
    <row r="13" customFormat="false" ht="17.35" hidden="false" customHeight="false" outlineLevel="0" collapsed="false">
      <c r="B13" s="8" t="s">
        <v>7</v>
      </c>
      <c r="C13" s="8"/>
      <c r="D13" s="7"/>
      <c r="E13" s="7"/>
      <c r="F13" s="7"/>
      <c r="G13" s="5"/>
      <c r="H13" s="5"/>
      <c r="I13" s="7" t="s">
        <v>10</v>
      </c>
      <c r="J13" s="7"/>
      <c r="K13" s="7"/>
      <c r="L13" s="6"/>
    </row>
    <row r="14" customFormat="false" ht="17.35" hidden="false" customHeight="false" outlineLevel="0" collapsed="false">
      <c r="B14" s="7" t="s">
        <v>9</v>
      </c>
      <c r="C14" s="8"/>
      <c r="D14" s="7"/>
      <c r="E14" s="7"/>
      <c r="F14" s="7"/>
      <c r="G14" s="5"/>
      <c r="H14" s="5"/>
      <c r="I14" s="8" t="s">
        <v>12</v>
      </c>
      <c r="J14" s="7"/>
      <c r="K14" s="7"/>
      <c r="L14" s="6"/>
    </row>
    <row r="15" customFormat="false" ht="17.35" hidden="false" customHeight="false" outlineLevel="0" collapsed="false">
      <c r="B15" s="7" t="s">
        <v>11</v>
      </c>
      <c r="C15" s="8"/>
      <c r="D15" s="7"/>
      <c r="E15" s="7"/>
      <c r="F15" s="7"/>
      <c r="G15" s="5"/>
      <c r="H15" s="5"/>
      <c r="I15" s="8" t="s">
        <v>14</v>
      </c>
      <c r="J15" s="7"/>
      <c r="K15" s="7"/>
      <c r="L15" s="6"/>
    </row>
    <row r="16" customFormat="false" ht="17.35" hidden="false" customHeight="false" outlineLevel="0" collapsed="false">
      <c r="B16" s="8" t="s">
        <v>13</v>
      </c>
      <c r="C16" s="8"/>
      <c r="D16" s="7"/>
      <c r="E16" s="7"/>
      <c r="F16" s="7"/>
      <c r="G16" s="5"/>
      <c r="H16" s="5"/>
      <c r="I16" s="9"/>
      <c r="J16" s="5"/>
      <c r="K16" s="5"/>
      <c r="L16" s="6"/>
    </row>
    <row r="17" customFormat="false" ht="17.35" hidden="false" customHeight="false" outlineLevel="0" collapsed="false">
      <c r="B17" s="8" t="s">
        <v>15</v>
      </c>
      <c r="C17" s="8"/>
      <c r="D17" s="7"/>
      <c r="E17" s="7"/>
      <c r="F17" s="7"/>
      <c r="G17" s="5"/>
      <c r="H17" s="5"/>
      <c r="I17" s="5"/>
      <c r="J17" s="5"/>
      <c r="K17" s="5"/>
      <c r="L17" s="6"/>
    </row>
    <row r="18" customFormat="false" ht="17.35" hidden="false" customHeight="false" outlineLevel="0" collapsed="false">
      <c r="B18" s="7" t="s">
        <v>16</v>
      </c>
      <c r="C18" s="7"/>
      <c r="D18" s="7"/>
      <c r="E18" s="7"/>
      <c r="F18" s="7"/>
      <c r="G18" s="5"/>
      <c r="H18" s="9"/>
      <c r="I18" s="9"/>
      <c r="J18" s="5"/>
      <c r="K18" s="5"/>
      <c r="L18" s="6"/>
    </row>
    <row r="19" customFormat="false" ht="17.35" hidden="false" customHeight="false" outlineLevel="0" collapsed="false">
      <c r="B19" s="7"/>
      <c r="C19" s="7"/>
      <c r="D19" s="7"/>
      <c r="E19" s="7"/>
      <c r="F19" s="7"/>
      <c r="G19" s="5"/>
      <c r="H19" s="5"/>
      <c r="I19" s="9"/>
      <c r="J19" s="5"/>
      <c r="K19" s="5"/>
      <c r="L19" s="6"/>
    </row>
    <row r="20" customFormat="false" ht="17.35" hidden="false" customHeight="false" outlineLevel="0" collapsed="false">
      <c r="B20" s="5"/>
      <c r="C20" s="5"/>
      <c r="D20" s="5"/>
      <c r="E20" s="5"/>
      <c r="F20" s="5"/>
      <c r="L20" s="6"/>
    </row>
    <row r="21" customFormat="false" ht="54.75" hidden="false" customHeight="true" outlineLevel="0" collapsed="false"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customFormat="false" ht="15.75" hidden="false" customHeight="false" outlineLevel="0" collapsed="false">
      <c r="B22" s="10"/>
      <c r="C22" s="10" t="s">
        <v>17</v>
      </c>
      <c r="D22" s="10"/>
      <c r="E22" s="10"/>
      <c r="F22" s="10" t="s">
        <v>18</v>
      </c>
      <c r="G22" s="10" t="s">
        <v>19</v>
      </c>
      <c r="H22" s="10" t="s">
        <v>20</v>
      </c>
      <c r="I22" s="10" t="s">
        <v>21</v>
      </c>
      <c r="J22" s="10" t="s">
        <v>22</v>
      </c>
      <c r="K22" s="10" t="s">
        <v>23</v>
      </c>
      <c r="L22" s="6"/>
    </row>
    <row r="23" customFormat="false" ht="67.5" hidden="false" customHeight="true" outlineLevel="0" collapsed="false">
      <c r="C23" s="11" t="s">
        <v>24</v>
      </c>
      <c r="D23" s="11"/>
      <c r="E23" s="11"/>
      <c r="F23" s="10" t="s">
        <v>25</v>
      </c>
      <c r="G23" s="12" t="n">
        <v>136.2</v>
      </c>
      <c r="H23" s="13" t="n">
        <f aca="false">I23/1.95583</f>
        <v>77.390295168803</v>
      </c>
      <c r="I23" s="14" t="n">
        <v>151.362261</v>
      </c>
      <c r="J23" s="14" t="n">
        <f aca="false">G23*H23</f>
        <v>10540.558201991</v>
      </c>
      <c r="K23" s="14" t="n">
        <f aca="false">G23*I23</f>
        <v>20615.5399482</v>
      </c>
      <c r="L23" s="6"/>
    </row>
    <row r="24" customFormat="false" ht="15.75" hidden="false" customHeight="false" outlineLevel="0" collapsed="false">
      <c r="H24" s="10"/>
      <c r="I24" s="10"/>
      <c r="J24" s="10"/>
      <c r="L24" s="6"/>
    </row>
    <row r="25" customFormat="false" ht="16.15" hidden="false" customHeight="false" outlineLevel="0" collapsed="false">
      <c r="B25" s="15"/>
      <c r="C25" s="16"/>
      <c r="D25" s="16"/>
      <c r="E25" s="17"/>
      <c r="F25" s="16"/>
      <c r="G25" s="18"/>
      <c r="H25" s="19"/>
      <c r="I25" s="19"/>
      <c r="J25" s="20"/>
      <c r="K25" s="18"/>
      <c r="L25" s="6"/>
      <c r="M25" s="21"/>
      <c r="N25" s="21"/>
    </row>
    <row r="26" customFormat="false" ht="16.15" hidden="false" customHeight="false" outlineLevel="0" collapsed="false">
      <c r="C26" s="10" t="s">
        <v>26</v>
      </c>
      <c r="D26" s="10"/>
      <c r="E26" s="10"/>
      <c r="F26" s="22"/>
      <c r="G26" s="23"/>
      <c r="H26" s="22"/>
      <c r="I26" s="24"/>
      <c r="J26" s="25"/>
      <c r="K26" s="26" t="n">
        <f aca="false">K23</f>
        <v>20615.5399482</v>
      </c>
      <c r="L26" s="6"/>
    </row>
    <row r="27" customFormat="false" ht="16.15" hidden="false" customHeight="false" outlineLevel="0" collapsed="false">
      <c r="C27" s="10" t="s">
        <v>27</v>
      </c>
      <c r="D27" s="10"/>
      <c r="E27" s="10"/>
      <c r="F27" s="22"/>
      <c r="G27" s="22"/>
      <c r="H27" s="22"/>
      <c r="I27" s="22"/>
      <c r="J27" s="22"/>
      <c r="K27" s="26" t="n">
        <f aca="false">J23</f>
        <v>10540.558201991</v>
      </c>
      <c r="L27" s="6"/>
    </row>
    <row r="28" customFormat="false" ht="16.15" hidden="false" customHeight="false" outlineLevel="0" collapsed="false">
      <c r="C28" s="10" t="s">
        <v>28</v>
      </c>
      <c r="D28" s="10"/>
      <c r="E28" s="10"/>
      <c r="F28" s="22"/>
      <c r="G28" s="22"/>
      <c r="H28" s="22"/>
      <c r="I28" s="22"/>
      <c r="J28" s="22"/>
      <c r="K28" s="26" t="n">
        <f aca="false">K26*20%</f>
        <v>4123.10798964</v>
      </c>
      <c r="L28" s="6"/>
    </row>
    <row r="29" customFormat="false" ht="16.15" hidden="false" customHeight="false" outlineLevel="0" collapsed="false">
      <c r="C29" s="10" t="s">
        <v>29</v>
      </c>
      <c r="D29" s="10"/>
      <c r="E29" s="10"/>
      <c r="F29" s="22"/>
      <c r="G29" s="22"/>
      <c r="H29" s="22"/>
      <c r="I29" s="22"/>
      <c r="J29" s="22"/>
      <c r="K29" s="26" t="n">
        <f aca="false">K27*20%</f>
        <v>2108.11164039819</v>
      </c>
      <c r="L29" s="6"/>
    </row>
    <row r="30" customFormat="false" ht="16.15" hidden="false" customHeight="false" outlineLevel="0" collapsed="false">
      <c r="C30" s="10" t="s">
        <v>30</v>
      </c>
      <c r="D30" s="10"/>
      <c r="E30" s="10"/>
      <c r="F30" s="22"/>
      <c r="G30" s="22"/>
      <c r="H30" s="22"/>
      <c r="I30" s="22"/>
      <c r="J30" s="22"/>
      <c r="K30" s="26" t="n">
        <f aca="false">K26+K28</f>
        <v>24738.64793784</v>
      </c>
      <c r="L30" s="6"/>
    </row>
    <row r="31" customFormat="false" ht="16.15" hidden="false" customHeight="false" outlineLevel="0" collapsed="false">
      <c r="C31" s="27" t="s">
        <v>31</v>
      </c>
      <c r="D31" s="27"/>
      <c r="E31" s="27"/>
      <c r="F31" s="22"/>
      <c r="G31" s="22"/>
      <c r="H31" s="22"/>
      <c r="I31" s="22"/>
      <c r="J31" s="22"/>
      <c r="K31" s="26" t="n">
        <f aca="false">K27+K29</f>
        <v>12648.6698423892</v>
      </c>
      <c r="L31" s="6"/>
    </row>
    <row r="32" customFormat="false" ht="16.15" hidden="false" customHeight="false" outlineLevel="0" collapsed="false">
      <c r="B32" s="10"/>
      <c r="C32" s="10"/>
      <c r="F32" s="22"/>
      <c r="G32" s="22"/>
      <c r="H32" s="22"/>
      <c r="I32" s="22"/>
      <c r="J32" s="28"/>
      <c r="K32" s="29"/>
      <c r="L32" s="6"/>
    </row>
    <row r="33" customFormat="false" ht="16.15" hidden="false" customHeight="false" outlineLevel="0" collapsed="false">
      <c r="B33" s="10"/>
      <c r="C33" s="10"/>
      <c r="F33" s="22"/>
      <c r="G33" s="22"/>
      <c r="H33" s="22"/>
      <c r="I33" s="22"/>
      <c r="J33" s="28"/>
      <c r="K33" s="29"/>
      <c r="L33" s="6"/>
    </row>
    <row r="34" customFormat="false" ht="17.35" hidden="false" customHeight="false" outlineLevel="0" collapsed="false">
      <c r="A34" s="10"/>
      <c r="B34" s="8"/>
      <c r="C34" s="8" t="s">
        <v>32</v>
      </c>
      <c r="D34" s="8"/>
      <c r="E34" s="8"/>
      <c r="F34" s="8"/>
      <c r="G34" s="8"/>
      <c r="H34" s="8"/>
      <c r="I34" s="8"/>
      <c r="J34" s="30"/>
      <c r="K34" s="31" t="n">
        <f aca="false">K30</f>
        <v>24738.64793784</v>
      </c>
      <c r="L34" s="6"/>
    </row>
    <row r="35" customFormat="false" ht="17.35" hidden="false" customHeight="false" outlineLevel="0" collapsed="false">
      <c r="A35" s="10"/>
      <c r="B35" s="8"/>
      <c r="C35" s="8" t="s">
        <v>33</v>
      </c>
      <c r="D35" s="8"/>
      <c r="E35" s="8"/>
      <c r="F35" s="8"/>
      <c r="G35" s="8"/>
      <c r="H35" s="8"/>
      <c r="I35" s="8"/>
      <c r="J35" s="30"/>
      <c r="K35" s="31" t="n">
        <f aca="false">K31</f>
        <v>12648.6698423892</v>
      </c>
      <c r="L35" s="6"/>
    </row>
    <row r="36" customFormat="false" ht="15.75" hidden="false" customHeight="false" outlineLevel="0" collapsed="false">
      <c r="A36" s="6"/>
      <c r="J36" s="32"/>
      <c r="K36" s="33" t="s">
        <v>34</v>
      </c>
    </row>
    <row r="40" customFormat="false" ht="15.75" hidden="false" customHeight="false" outlineLevel="0" collapsed="false">
      <c r="B40" s="1" t="s">
        <v>35</v>
      </c>
      <c r="D40" s="1" t="s">
        <v>36</v>
      </c>
    </row>
    <row r="41" customFormat="false" ht="15.75" hidden="false" customHeight="false" outlineLevel="0" collapsed="false">
      <c r="B41" s="10"/>
      <c r="C41" s="10"/>
      <c r="D41" s="10"/>
      <c r="E41" s="10"/>
    </row>
  </sheetData>
  <mergeCells count="2">
    <mergeCell ref="C23:E23"/>
    <mergeCell ref="C31:E31"/>
  </mergeCells>
  <printOptions headings="false" gridLines="false" gridLinesSet="true" horizontalCentered="false" verticalCentered="false"/>
  <pageMargins left="0.196527777777778" right="0.196527777777778" top="0.196527777777778" bottom="0.196527777777778" header="0.511811023622047" footer="0.196527777777778"/>
  <pageSetup paperSize="9" scale="5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&amp;LEVN Trading South East Europe EAD
14 Tsar Osvoboditel Blvd.
1000 Sofia
Bulgaria&amp;RID  Number: 175370769
VAT: BG175370769
Bank acount: CITIBank
BIC:CITIBGSF
IBAN: BG12 CITI 9250 1000 1123 00 BGN
IBAN: BG82 CITI 9250 1000 1123 01 EUR</oddFooter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N41"/>
  <sheetViews>
    <sheetView showFormulas="false" showGridLines="true" showRowColHeaders="true" showZeros="true" rightToLeft="false" tabSelected="false" showOutlineSymbols="true" defaultGridColor="true" view="normal" topLeftCell="A17" colorId="64" zoomScale="85" zoomScaleNormal="85" zoomScalePageLayoutView="100" workbookViewId="0">
      <selection pane="topLeft" activeCell="B9" activeCellId="0" sqref="B9"/>
    </sheetView>
  </sheetViews>
  <sheetFormatPr defaultColWidth="8.91015625" defaultRowHeight="15.7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1.82"/>
    <col collapsed="false" customWidth="true" hidden="false" outlineLevel="0" max="3" min="3" style="1" width="9.36"/>
    <col collapsed="false" customWidth="true" hidden="false" outlineLevel="0" max="4" min="4" style="1" width="27.18"/>
    <col collapsed="false" customWidth="true" hidden="false" outlineLevel="0" max="5" min="5" style="1" width="34.09"/>
    <col collapsed="false" customWidth="true" hidden="false" outlineLevel="0" max="6" min="6" style="1" width="13.54"/>
    <col collapsed="false" customWidth="true" hidden="false" outlineLevel="0" max="7" min="7" style="1" width="12.63"/>
    <col collapsed="false" customWidth="true" hidden="false" outlineLevel="0" max="8" min="8" style="1" width="22.82"/>
    <col collapsed="false" customWidth="true" hidden="false" outlineLevel="0" max="9" min="9" style="1" width="20.09"/>
    <col collapsed="false" customWidth="true" hidden="false" outlineLevel="0" max="11" min="10" style="1" width="14.91"/>
    <col collapsed="false" customWidth="true" hidden="false" outlineLevel="0" max="12" min="12" style="1" width="4.09"/>
    <col collapsed="false" customWidth="true" hidden="false" outlineLevel="0" max="13" min="13" style="1" width="10.09"/>
    <col collapsed="false" customWidth="false" hidden="false" outlineLevel="0" max="14" min="14" style="1" width="8.91"/>
    <col collapsed="false" customWidth="true" hidden="false" outlineLevel="0" max="15" min="15" style="1" width="18.91"/>
    <col collapsed="false" customWidth="false" hidden="false" outlineLevel="0" max="20" min="16" style="1" width="8.91"/>
    <col collapsed="false" customWidth="true" hidden="false" outlineLevel="0" max="21" min="21" style="1" width="17.36"/>
    <col collapsed="false" customWidth="false" hidden="false" outlineLevel="0" max="16384" min="22" style="1" width="8.91"/>
  </cols>
  <sheetData>
    <row r="5" customFormat="false" ht="19.7" hidden="false" customHeight="false" outlineLevel="0" collapsed="false">
      <c r="B5" s="2" t="s">
        <v>0</v>
      </c>
      <c r="C5" s="3"/>
      <c r="D5" s="3"/>
      <c r="E5" s="4"/>
    </row>
    <row r="6" customFormat="false" ht="15.75" hidden="false" customHeight="false" outlineLevel="0" collapsed="false">
      <c r="B6" s="1" t="s">
        <v>1</v>
      </c>
    </row>
    <row r="7" customFormat="false" ht="17.35" hidden="false" customHeight="false" outlineLevel="0" collapsed="false">
      <c r="B7" s="5"/>
      <c r="C7" s="5"/>
      <c r="D7" s="5"/>
      <c r="E7" s="5"/>
      <c r="F7" s="5"/>
      <c r="G7" s="5"/>
      <c r="L7" s="6"/>
    </row>
    <row r="8" customFormat="false" ht="19.7" hidden="false" customHeight="false" outlineLevel="0" collapsed="false">
      <c r="B8" s="2" t="s">
        <v>2</v>
      </c>
      <c r="C8" s="5"/>
      <c r="D8" s="5"/>
      <c r="E8" s="5"/>
      <c r="F8" s="5"/>
      <c r="G8" s="5"/>
      <c r="L8" s="6"/>
    </row>
    <row r="9" customFormat="false" ht="17.35" hidden="false" customHeight="false" outlineLevel="0" collapsed="false">
      <c r="B9" s="5"/>
      <c r="C9" s="5"/>
      <c r="D9" s="5"/>
      <c r="E9" s="5"/>
      <c r="F9" s="5"/>
      <c r="G9" s="5"/>
      <c r="L9" s="6"/>
    </row>
    <row r="10" customFormat="false" ht="17.35" hidden="false" customHeight="false" outlineLevel="0" collapsed="false">
      <c r="B10" s="7" t="s">
        <v>3</v>
      </c>
      <c r="C10" s="8"/>
      <c r="D10" s="7"/>
      <c r="E10" s="7"/>
      <c r="F10" s="7"/>
      <c r="G10" s="5"/>
      <c r="H10" s="9"/>
      <c r="I10" s="8" t="s">
        <v>4</v>
      </c>
      <c r="J10" s="7"/>
      <c r="K10" s="7"/>
      <c r="L10" s="6"/>
    </row>
    <row r="11" customFormat="false" ht="17.35" hidden="false" customHeight="false" outlineLevel="0" collapsed="false">
      <c r="B11" s="7" t="s">
        <v>44</v>
      </c>
      <c r="C11" s="7"/>
      <c r="D11" s="7"/>
      <c r="E11" s="7"/>
      <c r="F11" s="7"/>
      <c r="G11" s="5"/>
      <c r="H11" s="9"/>
      <c r="I11" s="7" t="s">
        <v>6</v>
      </c>
      <c r="J11" s="7"/>
      <c r="K11" s="7"/>
      <c r="L11" s="6"/>
    </row>
    <row r="12" customFormat="false" ht="17.35" hidden="false" customHeight="false" outlineLevel="0" collapsed="false">
      <c r="B12" s="8" t="s">
        <v>7</v>
      </c>
      <c r="C12" s="8"/>
      <c r="D12" s="7"/>
      <c r="E12" s="7"/>
      <c r="F12" s="7"/>
      <c r="G12" s="5"/>
      <c r="H12" s="5"/>
      <c r="I12" s="7" t="s">
        <v>8</v>
      </c>
      <c r="J12" s="7"/>
      <c r="K12" s="7"/>
      <c r="L12" s="6"/>
    </row>
    <row r="13" customFormat="false" ht="17.35" hidden="false" customHeight="false" outlineLevel="0" collapsed="false">
      <c r="B13" s="7" t="s">
        <v>9</v>
      </c>
      <c r="C13" s="8"/>
      <c r="D13" s="7"/>
      <c r="E13" s="7"/>
      <c r="F13" s="7"/>
      <c r="G13" s="5"/>
      <c r="H13" s="5"/>
      <c r="I13" s="7" t="s">
        <v>10</v>
      </c>
      <c r="J13" s="7"/>
      <c r="K13" s="7"/>
      <c r="L13" s="6"/>
    </row>
    <row r="14" customFormat="false" ht="17.35" hidden="false" customHeight="false" outlineLevel="0" collapsed="false">
      <c r="B14" s="7" t="s">
        <v>11</v>
      </c>
      <c r="C14" s="8"/>
      <c r="D14" s="7"/>
      <c r="E14" s="7"/>
      <c r="F14" s="7"/>
      <c r="G14" s="5"/>
      <c r="H14" s="5"/>
      <c r="I14" s="8" t="s">
        <v>12</v>
      </c>
      <c r="J14" s="7"/>
      <c r="K14" s="7"/>
      <c r="L14" s="6"/>
    </row>
    <row r="15" customFormat="false" ht="17.35" hidden="false" customHeight="false" outlineLevel="0" collapsed="false">
      <c r="B15" s="8" t="s">
        <v>13</v>
      </c>
      <c r="C15" s="8"/>
      <c r="D15" s="7"/>
      <c r="E15" s="7"/>
      <c r="F15" s="7"/>
      <c r="G15" s="5"/>
      <c r="H15" s="5"/>
      <c r="I15" s="8" t="s">
        <v>14</v>
      </c>
      <c r="J15" s="7"/>
      <c r="K15" s="7"/>
      <c r="L15" s="6"/>
    </row>
    <row r="16" customFormat="false" ht="17.35" hidden="false" customHeight="false" outlineLevel="0" collapsed="false">
      <c r="B16" s="8" t="s">
        <v>15</v>
      </c>
      <c r="C16" s="8"/>
      <c r="D16" s="7"/>
      <c r="E16" s="7"/>
      <c r="F16" s="7"/>
      <c r="G16" s="5"/>
      <c r="H16" s="5"/>
      <c r="I16" s="9"/>
      <c r="J16" s="5"/>
      <c r="K16" s="5"/>
      <c r="L16" s="6"/>
    </row>
    <row r="17" customFormat="false" ht="17.35" hidden="false" customHeight="false" outlineLevel="0" collapsed="false">
      <c r="B17" s="7" t="s">
        <v>16</v>
      </c>
      <c r="C17" s="7"/>
      <c r="D17" s="7"/>
      <c r="E17" s="7"/>
      <c r="F17" s="7"/>
      <c r="G17" s="5"/>
      <c r="H17" s="5"/>
      <c r="I17" s="5"/>
      <c r="J17" s="5"/>
      <c r="K17" s="5"/>
      <c r="L17" s="6"/>
    </row>
    <row r="18" customFormat="false" ht="17.35" hidden="false" customHeight="false" outlineLevel="0" collapsed="false">
      <c r="B18" s="7"/>
      <c r="C18" s="7"/>
      <c r="D18" s="7"/>
      <c r="E18" s="7"/>
      <c r="F18" s="7"/>
      <c r="G18" s="5"/>
      <c r="H18" s="9"/>
      <c r="I18" s="9"/>
      <c r="J18" s="5"/>
      <c r="K18" s="5"/>
      <c r="L18" s="6"/>
    </row>
    <row r="19" customFormat="false" ht="17.35" hidden="false" customHeight="false" outlineLevel="0" collapsed="false">
      <c r="B19" s="5"/>
      <c r="C19" s="5"/>
      <c r="D19" s="5"/>
      <c r="E19" s="5"/>
      <c r="F19" s="5"/>
      <c r="G19" s="5"/>
      <c r="H19" s="5"/>
      <c r="I19" s="9"/>
      <c r="J19" s="5"/>
      <c r="K19" s="5"/>
      <c r="L19" s="6"/>
    </row>
    <row r="20" customFormat="false" ht="15.75" hidden="false" customHeight="false" outlineLevel="0" collapsed="false">
      <c r="L20" s="6"/>
    </row>
    <row r="21" customFormat="false" ht="54.75" hidden="false" customHeight="true" outlineLevel="0" collapsed="false"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customFormat="false" ht="15.75" hidden="false" customHeight="false" outlineLevel="0" collapsed="false">
      <c r="B22" s="10"/>
      <c r="C22" s="10" t="s">
        <v>17</v>
      </c>
      <c r="D22" s="10"/>
      <c r="E22" s="10"/>
      <c r="F22" s="10" t="s">
        <v>18</v>
      </c>
      <c r="G22" s="10" t="s">
        <v>19</v>
      </c>
      <c r="H22" s="10" t="s">
        <v>20</v>
      </c>
      <c r="I22" s="10" t="s">
        <v>21</v>
      </c>
      <c r="J22" s="10" t="s">
        <v>22</v>
      </c>
      <c r="K22" s="10" t="s">
        <v>23</v>
      </c>
      <c r="L22" s="6"/>
    </row>
    <row r="23" customFormat="false" ht="67.5" hidden="false" customHeight="true" outlineLevel="0" collapsed="false">
      <c r="C23" s="11" t="s">
        <v>45</v>
      </c>
      <c r="D23" s="11"/>
      <c r="E23" s="11"/>
      <c r="F23" s="10" t="s">
        <v>25</v>
      </c>
      <c r="G23" s="12" t="n">
        <v>136.2</v>
      </c>
      <c r="H23" s="13" t="n">
        <f aca="false">I23/1.95583</f>
        <v>77.390295168803</v>
      </c>
      <c r="I23" s="14" t="n">
        <v>151.362261</v>
      </c>
      <c r="J23" s="14" t="n">
        <f aca="false">G23*H23</f>
        <v>10540.558201991</v>
      </c>
      <c r="K23" s="14" t="n">
        <f aca="false">G23*I23</f>
        <v>20615.5399482</v>
      </c>
      <c r="L23" s="6"/>
    </row>
    <row r="24" customFormat="false" ht="15.75" hidden="false" customHeight="false" outlineLevel="0" collapsed="false">
      <c r="H24" s="10"/>
      <c r="I24" s="10"/>
      <c r="J24" s="10"/>
      <c r="L24" s="6"/>
    </row>
    <row r="25" customFormat="false" ht="16.15" hidden="false" customHeight="false" outlineLevel="0" collapsed="false">
      <c r="B25" s="15"/>
      <c r="C25" s="16"/>
      <c r="D25" s="16"/>
      <c r="E25" s="17"/>
      <c r="F25" s="16"/>
      <c r="G25" s="18"/>
      <c r="H25" s="19"/>
      <c r="I25" s="19"/>
      <c r="J25" s="20"/>
      <c r="K25" s="18"/>
      <c r="L25" s="6"/>
      <c r="M25" s="21"/>
      <c r="N25" s="21"/>
    </row>
    <row r="26" customFormat="false" ht="16.15" hidden="false" customHeight="false" outlineLevel="0" collapsed="false">
      <c r="C26" s="10" t="s">
        <v>26</v>
      </c>
      <c r="D26" s="10"/>
      <c r="E26" s="10"/>
      <c r="F26" s="22"/>
      <c r="G26" s="23"/>
      <c r="H26" s="22"/>
      <c r="I26" s="24"/>
      <c r="J26" s="25"/>
      <c r="K26" s="26" t="n">
        <f aca="false">K23</f>
        <v>20615.5399482</v>
      </c>
      <c r="L26" s="6"/>
    </row>
    <row r="27" customFormat="false" ht="16.15" hidden="false" customHeight="false" outlineLevel="0" collapsed="false">
      <c r="C27" s="10" t="s">
        <v>27</v>
      </c>
      <c r="D27" s="10"/>
      <c r="E27" s="10"/>
      <c r="F27" s="22"/>
      <c r="G27" s="22"/>
      <c r="H27" s="22"/>
      <c r="I27" s="22"/>
      <c r="J27" s="22"/>
      <c r="K27" s="26" t="n">
        <f aca="false">J23</f>
        <v>10540.558201991</v>
      </c>
      <c r="L27" s="6"/>
    </row>
    <row r="28" customFormat="false" ht="16.15" hidden="false" customHeight="false" outlineLevel="0" collapsed="false">
      <c r="C28" s="10" t="s">
        <v>28</v>
      </c>
      <c r="D28" s="10"/>
      <c r="E28" s="10"/>
      <c r="F28" s="22"/>
      <c r="G28" s="22"/>
      <c r="H28" s="22"/>
      <c r="I28" s="22"/>
      <c r="J28" s="22"/>
      <c r="K28" s="26" t="n">
        <f aca="false">K26*20%</f>
        <v>4123.10798964</v>
      </c>
      <c r="L28" s="6"/>
    </row>
    <row r="29" customFormat="false" ht="16.15" hidden="false" customHeight="false" outlineLevel="0" collapsed="false">
      <c r="C29" s="10" t="s">
        <v>29</v>
      </c>
      <c r="D29" s="10"/>
      <c r="E29" s="10"/>
      <c r="F29" s="22"/>
      <c r="G29" s="22"/>
      <c r="H29" s="22"/>
      <c r="I29" s="22"/>
      <c r="J29" s="22"/>
      <c r="K29" s="26" t="n">
        <f aca="false">K27*20%</f>
        <v>2108.11164039819</v>
      </c>
      <c r="L29" s="6"/>
    </row>
    <row r="30" customFormat="false" ht="16.15" hidden="false" customHeight="false" outlineLevel="0" collapsed="false">
      <c r="C30" s="10" t="s">
        <v>30</v>
      </c>
      <c r="D30" s="10"/>
      <c r="E30" s="10"/>
      <c r="F30" s="22"/>
      <c r="G30" s="22"/>
      <c r="H30" s="22"/>
      <c r="I30" s="22"/>
      <c r="J30" s="22"/>
      <c r="K30" s="26" t="n">
        <f aca="false">K26+K28</f>
        <v>24738.64793784</v>
      </c>
      <c r="L30" s="6"/>
    </row>
    <row r="31" customFormat="false" ht="16.15" hidden="false" customHeight="false" outlineLevel="0" collapsed="false">
      <c r="C31" s="27" t="s">
        <v>31</v>
      </c>
      <c r="D31" s="27"/>
      <c r="E31" s="27"/>
      <c r="F31" s="22"/>
      <c r="G31" s="22"/>
      <c r="H31" s="22"/>
      <c r="I31" s="22"/>
      <c r="J31" s="22"/>
      <c r="K31" s="26" t="n">
        <f aca="false">K27+K29</f>
        <v>12648.6698423892</v>
      </c>
      <c r="L31" s="6"/>
    </row>
    <row r="32" customFormat="false" ht="16.15" hidden="false" customHeight="false" outlineLevel="0" collapsed="false">
      <c r="B32" s="10"/>
      <c r="C32" s="10"/>
      <c r="F32" s="22"/>
      <c r="G32" s="22"/>
      <c r="H32" s="22"/>
      <c r="I32" s="22"/>
      <c r="J32" s="28"/>
      <c r="K32" s="29"/>
      <c r="L32" s="6"/>
    </row>
    <row r="33" customFormat="false" ht="16.15" hidden="false" customHeight="false" outlineLevel="0" collapsed="false">
      <c r="B33" s="10"/>
      <c r="C33" s="10"/>
      <c r="F33" s="22"/>
      <c r="G33" s="22"/>
      <c r="H33" s="22"/>
      <c r="I33" s="22"/>
      <c r="J33" s="28"/>
      <c r="K33" s="29"/>
      <c r="L33" s="6"/>
    </row>
    <row r="34" customFormat="false" ht="17.35" hidden="false" customHeight="false" outlineLevel="0" collapsed="false">
      <c r="A34" s="10"/>
      <c r="B34" s="8"/>
      <c r="C34" s="8" t="s">
        <v>32</v>
      </c>
      <c r="D34" s="8"/>
      <c r="E34" s="8"/>
      <c r="F34" s="8"/>
      <c r="G34" s="8"/>
      <c r="H34" s="8"/>
      <c r="I34" s="8"/>
      <c r="J34" s="30"/>
      <c r="K34" s="31" t="n">
        <f aca="false">K30</f>
        <v>24738.64793784</v>
      </c>
      <c r="L34" s="6"/>
    </row>
    <row r="35" customFormat="false" ht="17.35" hidden="false" customHeight="false" outlineLevel="0" collapsed="false">
      <c r="A35" s="10"/>
      <c r="B35" s="8"/>
      <c r="C35" s="8" t="s">
        <v>33</v>
      </c>
      <c r="D35" s="8"/>
      <c r="E35" s="8"/>
      <c r="F35" s="8"/>
      <c r="G35" s="8"/>
      <c r="H35" s="8"/>
      <c r="I35" s="8"/>
      <c r="J35" s="30"/>
      <c r="K35" s="31" t="n">
        <f aca="false">K31</f>
        <v>12648.6698423892</v>
      </c>
      <c r="L35" s="6"/>
    </row>
    <row r="36" customFormat="false" ht="15.75" hidden="false" customHeight="false" outlineLevel="0" collapsed="false">
      <c r="A36" s="6"/>
      <c r="J36" s="32"/>
      <c r="K36" s="33" t="s">
        <v>34</v>
      </c>
    </row>
    <row r="40" customFormat="false" ht="15.75" hidden="false" customHeight="false" outlineLevel="0" collapsed="false">
      <c r="B40" s="1" t="s">
        <v>35</v>
      </c>
      <c r="D40" s="1" t="s">
        <v>36</v>
      </c>
    </row>
    <row r="41" customFormat="false" ht="15.75" hidden="false" customHeight="false" outlineLevel="0" collapsed="false">
      <c r="B41" s="10"/>
      <c r="C41" s="10"/>
      <c r="D41" s="10"/>
      <c r="E41" s="10"/>
    </row>
  </sheetData>
  <mergeCells count="2">
    <mergeCell ref="C23:E23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N41"/>
  <sheetViews>
    <sheetView showFormulas="false" showGridLines="true" showRowColHeaders="true" showZeros="true" rightToLeft="false" tabSelected="false" showOutlineSymbols="true" defaultGridColor="true" view="normal" topLeftCell="A11" colorId="64" zoomScale="85" zoomScaleNormal="85" zoomScalePageLayoutView="100" workbookViewId="0">
      <selection pane="topLeft" activeCell="B9" activeCellId="0" sqref="B9"/>
    </sheetView>
  </sheetViews>
  <sheetFormatPr defaultColWidth="8.91015625" defaultRowHeight="15.7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1.82"/>
    <col collapsed="false" customWidth="true" hidden="false" outlineLevel="0" max="3" min="3" style="1" width="9.36"/>
    <col collapsed="false" customWidth="true" hidden="false" outlineLevel="0" max="4" min="4" style="1" width="27.18"/>
    <col collapsed="false" customWidth="true" hidden="false" outlineLevel="0" max="5" min="5" style="1" width="34.09"/>
    <col collapsed="false" customWidth="true" hidden="false" outlineLevel="0" max="6" min="6" style="1" width="13.54"/>
    <col collapsed="false" customWidth="true" hidden="false" outlineLevel="0" max="7" min="7" style="1" width="12.63"/>
    <col collapsed="false" customWidth="true" hidden="false" outlineLevel="0" max="8" min="8" style="1" width="22.82"/>
    <col collapsed="false" customWidth="true" hidden="false" outlineLevel="0" max="9" min="9" style="1" width="20.09"/>
    <col collapsed="false" customWidth="true" hidden="false" outlineLevel="0" max="11" min="10" style="1" width="14.91"/>
    <col collapsed="false" customWidth="true" hidden="false" outlineLevel="0" max="12" min="12" style="1" width="4.09"/>
    <col collapsed="false" customWidth="true" hidden="false" outlineLevel="0" max="13" min="13" style="1" width="10.09"/>
    <col collapsed="false" customWidth="false" hidden="false" outlineLevel="0" max="14" min="14" style="1" width="8.91"/>
    <col collapsed="false" customWidth="true" hidden="false" outlineLevel="0" max="15" min="15" style="1" width="18.91"/>
    <col collapsed="false" customWidth="false" hidden="false" outlineLevel="0" max="20" min="16" style="1" width="8.91"/>
    <col collapsed="false" customWidth="true" hidden="false" outlineLevel="0" max="21" min="21" style="1" width="17.36"/>
    <col collapsed="false" customWidth="false" hidden="false" outlineLevel="0" max="16384" min="22" style="1" width="8.91"/>
  </cols>
  <sheetData>
    <row r="5" customFormat="false" ht="19.7" hidden="false" customHeight="false" outlineLevel="0" collapsed="false">
      <c r="B5" s="2" t="s">
        <v>37</v>
      </c>
      <c r="C5" s="3"/>
      <c r="D5" s="3"/>
      <c r="E5" s="4"/>
    </row>
    <row r="6" customFormat="false" ht="15.75" hidden="false" customHeight="false" outlineLevel="0" collapsed="false">
      <c r="B6" s="1" t="s">
        <v>1</v>
      </c>
    </row>
    <row r="7" customFormat="false" ht="17.35" hidden="false" customHeight="false" outlineLevel="0" collapsed="false">
      <c r="B7" s="5"/>
      <c r="C7" s="5"/>
      <c r="D7" s="5"/>
      <c r="E7" s="5"/>
      <c r="F7" s="5"/>
      <c r="G7" s="5"/>
      <c r="L7" s="6"/>
    </row>
    <row r="8" customFormat="false" ht="19.7" hidden="false" customHeight="false" outlineLevel="0" collapsed="false">
      <c r="B8" s="2" t="s">
        <v>2</v>
      </c>
      <c r="C8" s="5"/>
      <c r="D8" s="5"/>
      <c r="E8" s="5"/>
      <c r="F8" s="5"/>
      <c r="G8" s="5"/>
      <c r="L8" s="6"/>
    </row>
    <row r="9" customFormat="false" ht="17.35" hidden="false" customHeight="false" outlineLevel="0" collapsed="false">
      <c r="B9" s="5"/>
      <c r="C9" s="5"/>
      <c r="D9" s="5"/>
      <c r="E9" s="5"/>
      <c r="F9" s="5"/>
      <c r="G9" s="5"/>
      <c r="L9" s="6"/>
    </row>
    <row r="10" customFormat="false" ht="17.35" hidden="false" customHeight="false" outlineLevel="0" collapsed="false">
      <c r="B10" s="7" t="s">
        <v>38</v>
      </c>
      <c r="C10" s="8"/>
      <c r="D10" s="7"/>
      <c r="E10" s="7"/>
      <c r="F10" s="7"/>
      <c r="G10" s="5"/>
      <c r="H10" s="9"/>
      <c r="I10" s="8" t="s">
        <v>4</v>
      </c>
      <c r="J10" s="7"/>
      <c r="K10" s="7"/>
      <c r="L10" s="6"/>
    </row>
    <row r="11" customFormat="false" ht="17.35" hidden="false" customHeight="false" outlineLevel="0" collapsed="false">
      <c r="B11" s="7" t="s">
        <v>39</v>
      </c>
      <c r="C11" s="8"/>
      <c r="D11" s="7"/>
      <c r="E11" s="7"/>
      <c r="F11" s="7"/>
      <c r="G11" s="5"/>
      <c r="H11" s="9"/>
      <c r="I11" s="7" t="s">
        <v>6</v>
      </c>
      <c r="J11" s="7"/>
      <c r="K11" s="7"/>
      <c r="L11" s="6"/>
    </row>
    <row r="12" customFormat="false" ht="17.35" hidden="false" customHeight="false" outlineLevel="0" collapsed="false">
      <c r="B12" s="7" t="s">
        <v>40</v>
      </c>
      <c r="C12" s="7"/>
      <c r="D12" s="7"/>
      <c r="E12" s="7"/>
      <c r="F12" s="7"/>
      <c r="G12" s="5"/>
      <c r="H12" s="5"/>
      <c r="I12" s="7" t="s">
        <v>8</v>
      </c>
      <c r="J12" s="7"/>
      <c r="K12" s="7"/>
      <c r="L12" s="6"/>
    </row>
    <row r="13" customFormat="false" ht="17.35" hidden="false" customHeight="false" outlineLevel="0" collapsed="false">
      <c r="B13" s="8" t="s">
        <v>7</v>
      </c>
      <c r="C13" s="8"/>
      <c r="D13" s="7"/>
      <c r="E13" s="7"/>
      <c r="F13" s="7"/>
      <c r="G13" s="5"/>
      <c r="H13" s="5"/>
      <c r="I13" s="7" t="s">
        <v>10</v>
      </c>
      <c r="J13" s="7"/>
      <c r="K13" s="7"/>
      <c r="L13" s="6"/>
    </row>
    <row r="14" customFormat="false" ht="17.35" hidden="false" customHeight="false" outlineLevel="0" collapsed="false">
      <c r="B14" s="7" t="s">
        <v>9</v>
      </c>
      <c r="C14" s="8"/>
      <c r="D14" s="7"/>
      <c r="E14" s="7"/>
      <c r="F14" s="7"/>
      <c r="G14" s="5"/>
      <c r="H14" s="5"/>
      <c r="I14" s="8" t="s">
        <v>12</v>
      </c>
      <c r="J14" s="7"/>
      <c r="K14" s="7"/>
      <c r="L14" s="6"/>
    </row>
    <row r="15" customFormat="false" ht="17.35" hidden="false" customHeight="false" outlineLevel="0" collapsed="false">
      <c r="B15" s="7" t="s">
        <v>11</v>
      </c>
      <c r="C15" s="8"/>
      <c r="D15" s="7"/>
      <c r="E15" s="7"/>
      <c r="F15" s="7"/>
      <c r="G15" s="5"/>
      <c r="H15" s="5"/>
      <c r="I15" s="8" t="s">
        <v>14</v>
      </c>
      <c r="J15" s="7"/>
      <c r="K15" s="7"/>
      <c r="L15" s="6"/>
    </row>
    <row r="16" customFormat="false" ht="17.35" hidden="false" customHeight="false" outlineLevel="0" collapsed="false">
      <c r="B16" s="8" t="s">
        <v>13</v>
      </c>
      <c r="C16" s="8"/>
      <c r="D16" s="7"/>
      <c r="E16" s="7"/>
      <c r="F16" s="7"/>
      <c r="G16" s="5"/>
      <c r="H16" s="5"/>
      <c r="I16" s="9"/>
      <c r="J16" s="5"/>
      <c r="K16" s="5"/>
      <c r="L16" s="6"/>
    </row>
    <row r="17" customFormat="false" ht="17.35" hidden="false" customHeight="false" outlineLevel="0" collapsed="false">
      <c r="B17" s="8" t="s">
        <v>15</v>
      </c>
      <c r="C17" s="8"/>
      <c r="D17" s="7"/>
      <c r="E17" s="7"/>
      <c r="F17" s="7"/>
      <c r="G17" s="5"/>
      <c r="H17" s="5"/>
      <c r="I17" s="5"/>
      <c r="J17" s="5"/>
      <c r="K17" s="5"/>
      <c r="L17" s="6"/>
    </row>
    <row r="18" customFormat="false" ht="17.35" hidden="false" customHeight="false" outlineLevel="0" collapsed="false">
      <c r="B18" s="7" t="s">
        <v>16</v>
      </c>
      <c r="C18" s="7"/>
      <c r="D18" s="7"/>
      <c r="E18" s="7"/>
      <c r="F18" s="7"/>
      <c r="G18" s="5"/>
      <c r="H18" s="9"/>
      <c r="I18" s="9"/>
      <c r="J18" s="5"/>
      <c r="K18" s="5"/>
      <c r="L18" s="6"/>
    </row>
    <row r="19" customFormat="false" ht="17.35" hidden="false" customHeight="false" outlineLevel="0" collapsed="false">
      <c r="B19" s="7"/>
      <c r="C19" s="7"/>
      <c r="D19" s="7"/>
      <c r="E19" s="7"/>
      <c r="F19" s="7"/>
      <c r="G19" s="5"/>
      <c r="H19" s="5"/>
      <c r="I19" s="9"/>
      <c r="J19" s="5"/>
      <c r="K19" s="5"/>
      <c r="L19" s="6"/>
    </row>
    <row r="20" customFormat="false" ht="17.35" hidden="false" customHeight="false" outlineLevel="0" collapsed="false">
      <c r="B20" s="5"/>
      <c r="C20" s="5"/>
      <c r="D20" s="5"/>
      <c r="E20" s="5"/>
      <c r="F20" s="5"/>
      <c r="L20" s="6"/>
    </row>
    <row r="21" customFormat="false" ht="54.75" hidden="false" customHeight="true" outlineLevel="0" collapsed="false"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customFormat="false" ht="15.75" hidden="false" customHeight="false" outlineLevel="0" collapsed="false">
      <c r="B22" s="10"/>
      <c r="C22" s="10" t="s">
        <v>17</v>
      </c>
      <c r="D22" s="10"/>
      <c r="E22" s="10"/>
      <c r="F22" s="10" t="s">
        <v>18</v>
      </c>
      <c r="G22" s="10" t="s">
        <v>19</v>
      </c>
      <c r="H22" s="10" t="s">
        <v>20</v>
      </c>
      <c r="I22" s="10" t="s">
        <v>21</v>
      </c>
      <c r="J22" s="10" t="s">
        <v>22</v>
      </c>
      <c r="K22" s="10" t="s">
        <v>23</v>
      </c>
      <c r="L22" s="6"/>
    </row>
    <row r="23" customFormat="false" ht="67.5" hidden="false" customHeight="true" outlineLevel="0" collapsed="false">
      <c r="C23" s="11" t="s">
        <v>45</v>
      </c>
      <c r="D23" s="11"/>
      <c r="E23" s="11"/>
      <c r="F23" s="10" t="s">
        <v>25</v>
      </c>
      <c r="G23" s="12" t="n">
        <v>136.2</v>
      </c>
      <c r="H23" s="13" t="n">
        <f aca="false">I23/1.95583</f>
        <v>77.390295168803</v>
      </c>
      <c r="I23" s="14" t="n">
        <v>151.362261</v>
      </c>
      <c r="J23" s="14" t="n">
        <f aca="false">G23*H23</f>
        <v>10540.558201991</v>
      </c>
      <c r="K23" s="14" t="n">
        <f aca="false">G23*I23</f>
        <v>20615.5399482</v>
      </c>
      <c r="L23" s="6"/>
    </row>
    <row r="24" customFormat="false" ht="15.75" hidden="false" customHeight="false" outlineLevel="0" collapsed="false">
      <c r="H24" s="10"/>
      <c r="I24" s="10"/>
      <c r="J24" s="10"/>
      <c r="L24" s="6"/>
    </row>
    <row r="25" customFormat="false" ht="16.15" hidden="false" customHeight="false" outlineLevel="0" collapsed="false">
      <c r="B25" s="15"/>
      <c r="C25" s="16"/>
      <c r="D25" s="16"/>
      <c r="E25" s="17"/>
      <c r="F25" s="16"/>
      <c r="G25" s="18"/>
      <c r="H25" s="19"/>
      <c r="I25" s="19"/>
      <c r="J25" s="20"/>
      <c r="K25" s="18"/>
      <c r="L25" s="6"/>
      <c r="M25" s="21"/>
      <c r="N25" s="21"/>
    </row>
    <row r="26" customFormat="false" ht="16.15" hidden="false" customHeight="false" outlineLevel="0" collapsed="false">
      <c r="C26" s="10" t="s">
        <v>26</v>
      </c>
      <c r="D26" s="10"/>
      <c r="E26" s="10"/>
      <c r="F26" s="22"/>
      <c r="G26" s="23"/>
      <c r="H26" s="22"/>
      <c r="I26" s="24"/>
      <c r="J26" s="25"/>
      <c r="K26" s="26" t="n">
        <f aca="false">K23</f>
        <v>20615.5399482</v>
      </c>
      <c r="L26" s="6"/>
    </row>
    <row r="27" customFormat="false" ht="16.15" hidden="false" customHeight="false" outlineLevel="0" collapsed="false">
      <c r="C27" s="10" t="s">
        <v>27</v>
      </c>
      <c r="D27" s="10"/>
      <c r="E27" s="10"/>
      <c r="F27" s="22"/>
      <c r="G27" s="22"/>
      <c r="H27" s="22"/>
      <c r="I27" s="22"/>
      <c r="J27" s="22"/>
      <c r="K27" s="26" t="n">
        <f aca="false">J23</f>
        <v>10540.558201991</v>
      </c>
      <c r="L27" s="6"/>
    </row>
    <row r="28" customFormat="false" ht="16.15" hidden="false" customHeight="false" outlineLevel="0" collapsed="false">
      <c r="C28" s="10" t="s">
        <v>28</v>
      </c>
      <c r="D28" s="10"/>
      <c r="E28" s="10"/>
      <c r="F28" s="22"/>
      <c r="G28" s="22"/>
      <c r="H28" s="22"/>
      <c r="I28" s="22"/>
      <c r="J28" s="22"/>
      <c r="K28" s="26" t="n">
        <f aca="false">K26*20%</f>
        <v>4123.10798964</v>
      </c>
      <c r="L28" s="6"/>
    </row>
    <row r="29" customFormat="false" ht="16.15" hidden="false" customHeight="false" outlineLevel="0" collapsed="false">
      <c r="C29" s="10" t="s">
        <v>29</v>
      </c>
      <c r="D29" s="10"/>
      <c r="E29" s="10"/>
      <c r="F29" s="22"/>
      <c r="G29" s="22"/>
      <c r="H29" s="22"/>
      <c r="I29" s="22"/>
      <c r="J29" s="22"/>
      <c r="K29" s="26" t="n">
        <f aca="false">K27*20%</f>
        <v>2108.11164039819</v>
      </c>
      <c r="L29" s="6"/>
    </row>
    <row r="30" customFormat="false" ht="16.15" hidden="false" customHeight="false" outlineLevel="0" collapsed="false">
      <c r="C30" s="10" t="s">
        <v>30</v>
      </c>
      <c r="D30" s="10"/>
      <c r="E30" s="10"/>
      <c r="F30" s="22"/>
      <c r="G30" s="22"/>
      <c r="H30" s="22"/>
      <c r="I30" s="22"/>
      <c r="J30" s="22"/>
      <c r="K30" s="26" t="n">
        <f aca="false">K26+K28</f>
        <v>24738.64793784</v>
      </c>
      <c r="L30" s="6"/>
    </row>
    <row r="31" customFormat="false" ht="16.15" hidden="false" customHeight="false" outlineLevel="0" collapsed="false">
      <c r="C31" s="27" t="s">
        <v>31</v>
      </c>
      <c r="D31" s="27"/>
      <c r="E31" s="27"/>
      <c r="F31" s="22"/>
      <c r="G31" s="22"/>
      <c r="H31" s="22"/>
      <c r="I31" s="22"/>
      <c r="J31" s="22"/>
      <c r="K31" s="26" t="n">
        <f aca="false">K27+K29</f>
        <v>12648.6698423892</v>
      </c>
      <c r="L31" s="6"/>
    </row>
    <row r="32" customFormat="false" ht="16.15" hidden="false" customHeight="false" outlineLevel="0" collapsed="false">
      <c r="B32" s="10"/>
      <c r="C32" s="10"/>
      <c r="F32" s="22"/>
      <c r="G32" s="22"/>
      <c r="H32" s="22"/>
      <c r="I32" s="22"/>
      <c r="J32" s="28"/>
      <c r="K32" s="29"/>
      <c r="L32" s="6"/>
    </row>
    <row r="33" customFormat="false" ht="16.15" hidden="false" customHeight="false" outlineLevel="0" collapsed="false">
      <c r="B33" s="10"/>
      <c r="C33" s="10"/>
      <c r="F33" s="22"/>
      <c r="G33" s="22"/>
      <c r="H33" s="22"/>
      <c r="I33" s="22"/>
      <c r="J33" s="28"/>
      <c r="K33" s="29"/>
      <c r="L33" s="6"/>
    </row>
    <row r="34" customFormat="false" ht="17.35" hidden="false" customHeight="false" outlineLevel="0" collapsed="false">
      <c r="A34" s="10"/>
      <c r="B34" s="8"/>
      <c r="C34" s="8" t="s">
        <v>32</v>
      </c>
      <c r="D34" s="8"/>
      <c r="E34" s="8"/>
      <c r="F34" s="8"/>
      <c r="G34" s="8"/>
      <c r="H34" s="8"/>
      <c r="I34" s="8"/>
      <c r="J34" s="30"/>
      <c r="K34" s="31" t="n">
        <f aca="false">K30</f>
        <v>24738.64793784</v>
      </c>
      <c r="L34" s="6"/>
    </row>
    <row r="35" customFormat="false" ht="17.35" hidden="false" customHeight="false" outlineLevel="0" collapsed="false">
      <c r="A35" s="10"/>
      <c r="B35" s="8"/>
      <c r="C35" s="8" t="s">
        <v>33</v>
      </c>
      <c r="D35" s="8"/>
      <c r="E35" s="8"/>
      <c r="F35" s="8"/>
      <c r="G35" s="8"/>
      <c r="H35" s="8"/>
      <c r="I35" s="8"/>
      <c r="J35" s="30"/>
      <c r="K35" s="31" t="n">
        <f aca="false">K31</f>
        <v>12648.6698423892</v>
      </c>
      <c r="L35" s="6"/>
    </row>
    <row r="36" customFormat="false" ht="15.75" hidden="false" customHeight="false" outlineLevel="0" collapsed="false">
      <c r="A36" s="6"/>
      <c r="J36" s="32"/>
      <c r="K36" s="33" t="s">
        <v>34</v>
      </c>
    </row>
    <row r="40" customFormat="false" ht="15.75" hidden="false" customHeight="false" outlineLevel="0" collapsed="false">
      <c r="B40" s="1" t="s">
        <v>35</v>
      </c>
      <c r="D40" s="1" t="s">
        <v>36</v>
      </c>
    </row>
    <row r="41" customFormat="false" ht="15.75" hidden="false" customHeight="false" outlineLevel="0" collapsed="false">
      <c r="B41" s="10"/>
      <c r="C41" s="10"/>
      <c r="D41" s="10"/>
      <c r="E41" s="10"/>
    </row>
  </sheetData>
  <mergeCells count="2">
    <mergeCell ref="C23:E23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5:N41"/>
  <sheetViews>
    <sheetView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B9" activeCellId="0" sqref="B9"/>
    </sheetView>
  </sheetViews>
  <sheetFormatPr defaultColWidth="8.91015625" defaultRowHeight="15.75" zeroHeight="false" outlineLevelRow="0" outlineLevelCol="0"/>
  <cols>
    <col collapsed="false" customWidth="true" hidden="false" outlineLevel="0" max="1" min="1" style="1" width="1"/>
    <col collapsed="false" customWidth="true" hidden="false" outlineLevel="0" max="2" min="2" style="1" width="11.82"/>
    <col collapsed="false" customWidth="true" hidden="false" outlineLevel="0" max="3" min="3" style="1" width="9.36"/>
    <col collapsed="false" customWidth="true" hidden="false" outlineLevel="0" max="4" min="4" style="1" width="27.18"/>
    <col collapsed="false" customWidth="true" hidden="false" outlineLevel="0" max="5" min="5" style="1" width="34.09"/>
    <col collapsed="false" customWidth="true" hidden="false" outlineLevel="0" max="6" min="6" style="1" width="13.54"/>
    <col collapsed="false" customWidth="true" hidden="false" outlineLevel="0" max="7" min="7" style="1" width="12.63"/>
    <col collapsed="false" customWidth="true" hidden="false" outlineLevel="0" max="8" min="8" style="1" width="22.82"/>
    <col collapsed="false" customWidth="true" hidden="false" outlineLevel="0" max="9" min="9" style="1" width="20.09"/>
    <col collapsed="false" customWidth="true" hidden="false" outlineLevel="0" max="11" min="10" style="1" width="14.91"/>
    <col collapsed="false" customWidth="true" hidden="false" outlineLevel="0" max="12" min="12" style="1" width="4.09"/>
    <col collapsed="false" customWidth="true" hidden="false" outlineLevel="0" max="13" min="13" style="1" width="10.09"/>
    <col collapsed="false" customWidth="false" hidden="false" outlineLevel="0" max="14" min="14" style="1" width="8.91"/>
    <col collapsed="false" customWidth="true" hidden="false" outlineLevel="0" max="15" min="15" style="1" width="18.91"/>
    <col collapsed="false" customWidth="false" hidden="false" outlineLevel="0" max="20" min="16" style="1" width="8.91"/>
    <col collapsed="false" customWidth="true" hidden="false" outlineLevel="0" max="21" min="21" style="1" width="17.36"/>
    <col collapsed="false" customWidth="false" hidden="false" outlineLevel="0" max="16384" min="22" style="1" width="8.91"/>
  </cols>
  <sheetData>
    <row r="5" customFormat="false" ht="19.7" hidden="false" customHeight="false" outlineLevel="0" collapsed="false">
      <c r="B5" s="2" t="s">
        <v>41</v>
      </c>
      <c r="C5" s="3"/>
      <c r="D5" s="3"/>
      <c r="E5" s="4"/>
    </row>
    <row r="6" customFormat="false" ht="15.75" hidden="false" customHeight="false" outlineLevel="0" collapsed="false">
      <c r="B6" s="1" t="s">
        <v>1</v>
      </c>
    </row>
    <row r="7" customFormat="false" ht="17.35" hidden="false" customHeight="false" outlineLevel="0" collapsed="false">
      <c r="B7" s="5"/>
      <c r="C7" s="5"/>
      <c r="D7" s="5"/>
      <c r="E7" s="5"/>
      <c r="F7" s="5"/>
      <c r="G7" s="5"/>
      <c r="L7" s="6"/>
    </row>
    <row r="8" customFormat="false" ht="19.7" hidden="false" customHeight="false" outlineLevel="0" collapsed="false">
      <c r="B8" s="2" t="s">
        <v>2</v>
      </c>
      <c r="C8" s="5"/>
      <c r="D8" s="5"/>
      <c r="E8" s="5"/>
      <c r="F8" s="5"/>
      <c r="G8" s="5"/>
      <c r="L8" s="6"/>
    </row>
    <row r="9" customFormat="false" ht="17.35" hidden="false" customHeight="false" outlineLevel="0" collapsed="false">
      <c r="B9" s="5"/>
      <c r="C9" s="5"/>
      <c r="D9" s="5"/>
      <c r="E9" s="5"/>
      <c r="F9" s="5"/>
      <c r="G9" s="5"/>
      <c r="L9" s="6"/>
    </row>
    <row r="10" customFormat="false" ht="17.35" hidden="false" customHeight="false" outlineLevel="0" collapsed="false">
      <c r="B10" s="7" t="s">
        <v>42</v>
      </c>
      <c r="C10" s="8"/>
      <c r="D10" s="7"/>
      <c r="E10" s="7"/>
      <c r="F10" s="7"/>
      <c r="G10" s="5"/>
      <c r="H10" s="9"/>
      <c r="I10" s="8" t="s">
        <v>4</v>
      </c>
      <c r="J10" s="7"/>
      <c r="K10" s="7"/>
      <c r="L10" s="6"/>
    </row>
    <row r="11" customFormat="false" ht="17.35" hidden="false" customHeight="false" outlineLevel="0" collapsed="false">
      <c r="B11" s="7" t="s">
        <v>39</v>
      </c>
      <c r="C11" s="8"/>
      <c r="D11" s="7"/>
      <c r="E11" s="7"/>
      <c r="F11" s="7"/>
      <c r="G11" s="5"/>
      <c r="H11" s="9"/>
      <c r="I11" s="7" t="s">
        <v>6</v>
      </c>
      <c r="J11" s="7"/>
      <c r="K11" s="7"/>
      <c r="L11" s="6"/>
    </row>
    <row r="12" customFormat="false" ht="17.35" hidden="false" customHeight="false" outlineLevel="0" collapsed="false">
      <c r="B12" s="7" t="s">
        <v>46</v>
      </c>
      <c r="C12" s="7"/>
      <c r="D12" s="7"/>
      <c r="E12" s="7"/>
      <c r="F12" s="7"/>
      <c r="G12" s="5"/>
      <c r="H12" s="5"/>
      <c r="I12" s="7" t="s">
        <v>8</v>
      </c>
      <c r="J12" s="7"/>
      <c r="K12" s="7"/>
      <c r="L12" s="6"/>
    </row>
    <row r="13" customFormat="false" ht="17.35" hidden="false" customHeight="false" outlineLevel="0" collapsed="false">
      <c r="B13" s="8" t="s">
        <v>7</v>
      </c>
      <c r="C13" s="8"/>
      <c r="D13" s="7"/>
      <c r="E13" s="7"/>
      <c r="F13" s="7"/>
      <c r="G13" s="5"/>
      <c r="H13" s="5"/>
      <c r="I13" s="7" t="s">
        <v>10</v>
      </c>
      <c r="J13" s="7"/>
      <c r="K13" s="7"/>
      <c r="L13" s="6"/>
    </row>
    <row r="14" customFormat="false" ht="17.35" hidden="false" customHeight="false" outlineLevel="0" collapsed="false">
      <c r="B14" s="7" t="s">
        <v>9</v>
      </c>
      <c r="C14" s="8"/>
      <c r="D14" s="7"/>
      <c r="E14" s="7"/>
      <c r="F14" s="7"/>
      <c r="G14" s="5"/>
      <c r="H14" s="5"/>
      <c r="I14" s="8" t="s">
        <v>12</v>
      </c>
      <c r="J14" s="7"/>
      <c r="K14" s="7"/>
      <c r="L14" s="6"/>
    </row>
    <row r="15" customFormat="false" ht="17.35" hidden="false" customHeight="false" outlineLevel="0" collapsed="false">
      <c r="B15" s="7" t="s">
        <v>11</v>
      </c>
      <c r="C15" s="8"/>
      <c r="D15" s="7"/>
      <c r="E15" s="7"/>
      <c r="F15" s="7"/>
      <c r="G15" s="5"/>
      <c r="H15" s="5"/>
      <c r="I15" s="8" t="s">
        <v>14</v>
      </c>
      <c r="J15" s="7"/>
      <c r="K15" s="7"/>
      <c r="L15" s="6"/>
    </row>
    <row r="16" customFormat="false" ht="17.35" hidden="false" customHeight="false" outlineLevel="0" collapsed="false">
      <c r="B16" s="8" t="s">
        <v>13</v>
      </c>
      <c r="C16" s="8"/>
      <c r="D16" s="7"/>
      <c r="E16" s="7"/>
      <c r="F16" s="7"/>
      <c r="G16" s="5"/>
      <c r="H16" s="5"/>
      <c r="I16" s="9"/>
      <c r="J16" s="5"/>
      <c r="K16" s="5"/>
      <c r="L16" s="6"/>
    </row>
    <row r="17" customFormat="false" ht="17.35" hidden="false" customHeight="false" outlineLevel="0" collapsed="false">
      <c r="B17" s="8" t="s">
        <v>15</v>
      </c>
      <c r="C17" s="8"/>
      <c r="D17" s="7"/>
      <c r="E17" s="7"/>
      <c r="F17" s="7"/>
      <c r="G17" s="5"/>
      <c r="H17" s="5"/>
      <c r="I17" s="5"/>
      <c r="J17" s="5"/>
      <c r="K17" s="5"/>
      <c r="L17" s="6"/>
    </row>
    <row r="18" customFormat="false" ht="17.35" hidden="false" customHeight="false" outlineLevel="0" collapsed="false">
      <c r="B18" s="7" t="s">
        <v>16</v>
      </c>
      <c r="C18" s="7"/>
      <c r="D18" s="7"/>
      <c r="E18" s="7"/>
      <c r="F18" s="7"/>
      <c r="G18" s="5"/>
      <c r="H18" s="9"/>
      <c r="I18" s="9"/>
      <c r="J18" s="5"/>
      <c r="K18" s="5"/>
      <c r="L18" s="6"/>
    </row>
    <row r="19" customFormat="false" ht="17.35" hidden="false" customHeight="false" outlineLevel="0" collapsed="false">
      <c r="B19" s="7"/>
      <c r="C19" s="7"/>
      <c r="D19" s="7"/>
      <c r="E19" s="7"/>
      <c r="F19" s="7"/>
      <c r="G19" s="5"/>
      <c r="H19" s="5"/>
      <c r="I19" s="9"/>
      <c r="J19" s="5"/>
      <c r="K19" s="5"/>
      <c r="L19" s="6"/>
    </row>
    <row r="20" customFormat="false" ht="17.35" hidden="false" customHeight="false" outlineLevel="0" collapsed="false">
      <c r="B20" s="5"/>
      <c r="C20" s="5"/>
      <c r="D20" s="5"/>
      <c r="E20" s="5"/>
      <c r="F20" s="5"/>
      <c r="L20" s="6"/>
    </row>
    <row r="21" customFormat="false" ht="54.75" hidden="false" customHeight="true" outlineLevel="0" collapsed="false">
      <c r="B21" s="7"/>
      <c r="C21" s="7"/>
      <c r="D21" s="7"/>
      <c r="E21" s="7"/>
      <c r="F21" s="7"/>
      <c r="G21" s="7"/>
      <c r="H21" s="7"/>
      <c r="I21" s="7"/>
      <c r="J21" s="7"/>
      <c r="K21" s="7"/>
      <c r="L21" s="6"/>
    </row>
    <row r="22" customFormat="false" ht="15.75" hidden="false" customHeight="false" outlineLevel="0" collapsed="false">
      <c r="B22" s="10"/>
      <c r="C22" s="10" t="s">
        <v>17</v>
      </c>
      <c r="D22" s="10"/>
      <c r="E22" s="10"/>
      <c r="F22" s="10" t="s">
        <v>18</v>
      </c>
      <c r="G22" s="10" t="s">
        <v>19</v>
      </c>
      <c r="H22" s="10" t="s">
        <v>20</v>
      </c>
      <c r="I22" s="10" t="s">
        <v>21</v>
      </c>
      <c r="J22" s="10" t="s">
        <v>22</v>
      </c>
      <c r="K22" s="10" t="s">
        <v>23</v>
      </c>
      <c r="L22" s="6"/>
    </row>
    <row r="23" customFormat="false" ht="67.5" hidden="false" customHeight="true" outlineLevel="0" collapsed="false">
      <c r="C23" s="11" t="s">
        <v>45</v>
      </c>
      <c r="D23" s="11"/>
      <c r="E23" s="11"/>
      <c r="F23" s="10" t="s">
        <v>25</v>
      </c>
      <c r="G23" s="12" t="n">
        <v>136.2</v>
      </c>
      <c r="H23" s="13" t="n">
        <f aca="false">I23/1.95583</f>
        <v>77.390295168803</v>
      </c>
      <c r="I23" s="14" t="n">
        <v>151.362261</v>
      </c>
      <c r="J23" s="14" t="n">
        <f aca="false">G23*H23</f>
        <v>10540.558201991</v>
      </c>
      <c r="K23" s="14" t="n">
        <f aca="false">G23*I23</f>
        <v>20615.5399482</v>
      </c>
      <c r="L23" s="6"/>
    </row>
    <row r="24" customFormat="false" ht="15.75" hidden="false" customHeight="false" outlineLevel="0" collapsed="false">
      <c r="H24" s="10"/>
      <c r="I24" s="10"/>
      <c r="J24" s="10"/>
      <c r="L24" s="6"/>
    </row>
    <row r="25" customFormat="false" ht="16.15" hidden="false" customHeight="false" outlineLevel="0" collapsed="false">
      <c r="B25" s="15"/>
      <c r="C25" s="16"/>
      <c r="D25" s="16"/>
      <c r="E25" s="17"/>
      <c r="F25" s="16"/>
      <c r="G25" s="18"/>
      <c r="H25" s="19"/>
      <c r="I25" s="19"/>
      <c r="J25" s="20"/>
      <c r="K25" s="18"/>
      <c r="L25" s="6"/>
      <c r="M25" s="21"/>
      <c r="N25" s="21"/>
    </row>
    <row r="26" customFormat="false" ht="16.15" hidden="false" customHeight="false" outlineLevel="0" collapsed="false">
      <c r="C26" s="10" t="s">
        <v>26</v>
      </c>
      <c r="D26" s="10"/>
      <c r="E26" s="10"/>
      <c r="F26" s="22"/>
      <c r="G26" s="23"/>
      <c r="H26" s="22"/>
      <c r="I26" s="24"/>
      <c r="J26" s="25"/>
      <c r="K26" s="26" t="n">
        <f aca="false">K23</f>
        <v>20615.5399482</v>
      </c>
      <c r="L26" s="6"/>
    </row>
    <row r="27" customFormat="false" ht="16.15" hidden="false" customHeight="false" outlineLevel="0" collapsed="false">
      <c r="C27" s="10" t="s">
        <v>27</v>
      </c>
      <c r="D27" s="10"/>
      <c r="E27" s="10"/>
      <c r="F27" s="22"/>
      <c r="G27" s="22"/>
      <c r="H27" s="22"/>
      <c r="I27" s="22"/>
      <c r="J27" s="22"/>
      <c r="K27" s="26" t="n">
        <f aca="false">J23</f>
        <v>10540.558201991</v>
      </c>
      <c r="L27" s="6"/>
    </row>
    <row r="28" customFormat="false" ht="16.15" hidden="false" customHeight="false" outlineLevel="0" collapsed="false">
      <c r="C28" s="10" t="s">
        <v>28</v>
      </c>
      <c r="D28" s="10"/>
      <c r="E28" s="10"/>
      <c r="F28" s="22"/>
      <c r="G28" s="22"/>
      <c r="H28" s="22"/>
      <c r="I28" s="22"/>
      <c r="J28" s="22"/>
      <c r="K28" s="26" t="n">
        <f aca="false">K26*20%</f>
        <v>4123.10798964</v>
      </c>
      <c r="L28" s="6"/>
    </row>
    <row r="29" customFormat="false" ht="16.15" hidden="false" customHeight="false" outlineLevel="0" collapsed="false">
      <c r="C29" s="10" t="s">
        <v>29</v>
      </c>
      <c r="D29" s="10"/>
      <c r="E29" s="10"/>
      <c r="F29" s="22"/>
      <c r="G29" s="22"/>
      <c r="H29" s="22"/>
      <c r="I29" s="22"/>
      <c r="J29" s="22"/>
      <c r="K29" s="26" t="n">
        <f aca="false">K27*20%</f>
        <v>2108.11164039819</v>
      </c>
      <c r="L29" s="6"/>
    </row>
    <row r="30" customFormat="false" ht="16.15" hidden="false" customHeight="false" outlineLevel="0" collapsed="false">
      <c r="C30" s="10" t="s">
        <v>30</v>
      </c>
      <c r="D30" s="10"/>
      <c r="E30" s="10"/>
      <c r="F30" s="22"/>
      <c r="G30" s="22"/>
      <c r="H30" s="22"/>
      <c r="I30" s="22"/>
      <c r="J30" s="22"/>
      <c r="K30" s="26" t="n">
        <f aca="false">K26+K28</f>
        <v>24738.64793784</v>
      </c>
      <c r="L30" s="6"/>
    </row>
    <row r="31" customFormat="false" ht="16.15" hidden="false" customHeight="false" outlineLevel="0" collapsed="false">
      <c r="C31" s="27" t="s">
        <v>31</v>
      </c>
      <c r="D31" s="27"/>
      <c r="E31" s="27"/>
      <c r="F31" s="22"/>
      <c r="G31" s="22"/>
      <c r="H31" s="22"/>
      <c r="I31" s="22"/>
      <c r="J31" s="22"/>
      <c r="K31" s="26" t="n">
        <f aca="false">K27+K29</f>
        <v>12648.6698423892</v>
      </c>
      <c r="L31" s="6"/>
    </row>
    <row r="32" customFormat="false" ht="16.15" hidden="false" customHeight="false" outlineLevel="0" collapsed="false">
      <c r="B32" s="10"/>
      <c r="C32" s="10"/>
      <c r="F32" s="22"/>
      <c r="G32" s="22"/>
      <c r="H32" s="22"/>
      <c r="I32" s="22"/>
      <c r="J32" s="28"/>
      <c r="K32" s="29"/>
      <c r="L32" s="6"/>
    </row>
    <row r="33" customFormat="false" ht="16.15" hidden="false" customHeight="false" outlineLevel="0" collapsed="false">
      <c r="B33" s="10"/>
      <c r="C33" s="10"/>
      <c r="F33" s="22"/>
      <c r="G33" s="22"/>
      <c r="H33" s="22"/>
      <c r="I33" s="22"/>
      <c r="J33" s="28"/>
      <c r="K33" s="29"/>
      <c r="L33" s="6"/>
    </row>
    <row r="34" customFormat="false" ht="17.35" hidden="false" customHeight="false" outlineLevel="0" collapsed="false">
      <c r="A34" s="10"/>
      <c r="B34" s="8"/>
      <c r="C34" s="8" t="s">
        <v>32</v>
      </c>
      <c r="D34" s="8"/>
      <c r="E34" s="8"/>
      <c r="F34" s="8"/>
      <c r="G34" s="8"/>
      <c r="H34" s="8"/>
      <c r="I34" s="8"/>
      <c r="J34" s="30"/>
      <c r="K34" s="31" t="n">
        <f aca="false">K30</f>
        <v>24738.64793784</v>
      </c>
      <c r="L34" s="6"/>
    </row>
    <row r="35" customFormat="false" ht="17.35" hidden="false" customHeight="false" outlineLevel="0" collapsed="false">
      <c r="A35" s="10"/>
      <c r="B35" s="8"/>
      <c r="C35" s="8" t="s">
        <v>33</v>
      </c>
      <c r="D35" s="8"/>
      <c r="E35" s="8"/>
      <c r="F35" s="8"/>
      <c r="G35" s="8"/>
      <c r="H35" s="8"/>
      <c r="I35" s="8"/>
      <c r="J35" s="30"/>
      <c r="K35" s="31" t="n">
        <f aca="false">K31</f>
        <v>12648.6698423892</v>
      </c>
      <c r="L35" s="6"/>
    </row>
    <row r="36" customFormat="false" ht="15.75" hidden="false" customHeight="false" outlineLevel="0" collapsed="false">
      <c r="A36" s="6"/>
      <c r="J36" s="32"/>
      <c r="K36" s="33" t="s">
        <v>34</v>
      </c>
    </row>
    <row r="40" customFormat="false" ht="15.75" hidden="false" customHeight="false" outlineLevel="0" collapsed="false">
      <c r="B40" s="1" t="s">
        <v>35</v>
      </c>
      <c r="D40" s="1" t="s">
        <v>36</v>
      </c>
    </row>
    <row r="41" customFormat="false" ht="15.75" hidden="false" customHeight="false" outlineLevel="0" collapsed="false">
      <c r="B41" s="10"/>
      <c r="C41" s="10"/>
      <c r="D41" s="10"/>
      <c r="E41" s="10"/>
    </row>
  </sheetData>
  <mergeCells count="2">
    <mergeCell ref="C23:E23"/>
    <mergeCell ref="C31:E3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205</TotalTime>
  <Application>LibreOffice/24.2.3.2$Windows_X86_64 LibreOffice_project/433d9c2ded56988e8a90e6b2e771ee4e6a5ab2ba</Application>
  <AppVersion>15.0000</AppVersion>
  <Company>EVN Bulgaria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2011-09-20T13:10:06Z</dcterms:created>
  <dc:creator>Dimitar Dimitrov</dc:creator>
  <dc:description/>
  <cp:keywords> docId B71435CC29D7A95F44C1501A80C47D1A</cp:keywords>
  <dc:language>bg-BG</dc:language>
  <cp:lastModifiedBy/>
  <cp:lastPrinted>2024-06-20T12:47:49Z</cp:lastPrinted>
  <dcterms:modified xsi:type="dcterms:W3CDTF">2024-10-30T11:35:02Z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